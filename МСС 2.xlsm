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C:\Users\dasha\Desktop\учеба\мсс\"/>
    </mc:Choice>
  </mc:AlternateContent>
  <bookViews>
    <workbookView xWindow="0" yWindow="0" windowWidth="13212" windowHeight="5400" activeTab="1"/>
  </bookViews>
  <sheets>
    <sheet name="Лист1" sheetId="1" r:id="rId1"/>
    <sheet name="Лист2" sheetId="2" r:id="rId2"/>
  </sheets>
  <externalReferences>
    <externalReference r:id="rId3"/>
  </externalReferenc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1" i="2" l="1"/>
  <c r="AH15" i="2" l="1"/>
  <c r="AG15" i="2"/>
  <c r="AF15" i="2"/>
  <c r="AE15" i="2"/>
  <c r="AD15" i="2"/>
  <c r="AC15" i="2"/>
  <c r="AB15" i="2"/>
  <c r="AA15" i="2"/>
  <c r="Z15" i="2"/>
  <c r="Y15" i="2"/>
  <c r="X15" i="2"/>
  <c r="W15" i="2"/>
  <c r="V15" i="2"/>
  <c r="U15" i="2"/>
  <c r="T15" i="2"/>
  <c r="S15" i="2"/>
  <c r="R15" i="2"/>
  <c r="Q15" i="2"/>
  <c r="P15" i="2"/>
  <c r="O15" i="2"/>
  <c r="N15" i="2"/>
  <c r="M15" i="2"/>
  <c r="L15" i="2"/>
  <c r="K15" i="2"/>
  <c r="J15" i="2"/>
  <c r="I15" i="2"/>
  <c r="H15" i="2"/>
  <c r="G15" i="2"/>
  <c r="F15" i="2"/>
  <c r="E15" i="2"/>
  <c r="B13" i="2"/>
  <c r="AC12" i="2"/>
  <c r="AB12" i="2"/>
  <c r="AA12" i="2"/>
  <c r="U12" i="2"/>
  <c r="T12" i="2"/>
  <c r="S12" i="2"/>
  <c r="M12" i="2"/>
  <c r="L12" i="2"/>
  <c r="K12" i="2"/>
  <c r="F12" i="2"/>
  <c r="B2" i="2"/>
  <c r="B15" i="2" s="1"/>
  <c r="AD12" i="2" l="1"/>
  <c r="N12" i="2"/>
  <c r="G12" i="2"/>
  <c r="AE12" i="2"/>
  <c r="F10" i="2"/>
  <c r="G10" i="2" s="1"/>
  <c r="H10" i="2" s="1"/>
  <c r="I10" i="2" s="1"/>
  <c r="J10" i="2" s="1"/>
  <c r="K10" i="2" s="1"/>
  <c r="L10" i="2" s="1"/>
  <c r="M10" i="2" s="1"/>
  <c r="N10" i="2" s="1"/>
  <c r="O10" i="2" s="1"/>
  <c r="P10" i="2" s="1"/>
  <c r="Q10" i="2" s="1"/>
  <c r="R10" i="2" s="1"/>
  <c r="S10" i="2" s="1"/>
  <c r="T10" i="2" s="1"/>
  <c r="U10" i="2" s="1"/>
  <c r="V10" i="2" s="1"/>
  <c r="W10" i="2" s="1"/>
  <c r="X10" i="2" s="1"/>
  <c r="Y10" i="2" s="1"/>
  <c r="Z10" i="2" s="1"/>
  <c r="AA10" i="2" s="1"/>
  <c r="AB10" i="2" s="1"/>
  <c r="AC10" i="2" s="1"/>
  <c r="AD10" i="2" s="1"/>
  <c r="AE10" i="2" s="1"/>
  <c r="AF10" i="2" s="1"/>
  <c r="AG10" i="2" s="1"/>
  <c r="AH10" i="2" s="1"/>
  <c r="V12" i="2"/>
  <c r="W12" i="2"/>
  <c r="H12" i="2"/>
  <c r="X12" i="2"/>
  <c r="I12" i="2"/>
  <c r="Q12" i="2"/>
  <c r="Y12" i="2"/>
  <c r="AG12" i="2"/>
  <c r="B14" i="2"/>
  <c r="E3" i="2"/>
  <c r="O12" i="2"/>
  <c r="P12" i="2"/>
  <c r="AF12" i="2"/>
  <c r="J12" i="2"/>
  <c r="R12" i="2"/>
  <c r="Z12" i="2"/>
  <c r="AH12" i="2"/>
  <c r="E3" i="1"/>
  <c r="B14" i="1"/>
  <c r="F16" i="2" l="1"/>
  <c r="F17" i="2"/>
  <c r="G17" i="2" s="1"/>
  <c r="G16" i="2" l="1"/>
  <c r="H16" i="2" l="1"/>
  <c r="H17" i="2"/>
  <c r="I17" i="2" s="1"/>
  <c r="I16" i="2" l="1"/>
  <c r="AI11" i="1"/>
  <c r="E11" i="1"/>
  <c r="B2" i="1"/>
  <c r="J16" i="2" l="1"/>
  <c r="J17" i="2"/>
  <c r="K17" i="2" s="1"/>
  <c r="B13" i="1"/>
  <c r="B15" i="1"/>
  <c r="F10" i="1"/>
  <c r="G10" i="1" s="1"/>
  <c r="H10" i="1" s="1"/>
  <c r="I10" i="1" s="1"/>
  <c r="J10" i="1" s="1"/>
  <c r="K10" i="1" s="1"/>
  <c r="L10" i="1" s="1"/>
  <c r="M10" i="1" s="1"/>
  <c r="N10" i="1" s="1"/>
  <c r="O10" i="1" s="1"/>
  <c r="P10" i="1" s="1"/>
  <c r="Q10" i="1" s="1"/>
  <c r="R10" i="1" s="1"/>
  <c r="S10" i="1" s="1"/>
  <c r="T10" i="1" s="1"/>
  <c r="U10" i="1" s="1"/>
  <c r="V10" i="1" s="1"/>
  <c r="W10" i="1" s="1"/>
  <c r="X10" i="1" s="1"/>
  <c r="Y10" i="1" s="1"/>
  <c r="Z10" i="1" s="1"/>
  <c r="AA10" i="1" s="1"/>
  <c r="AB10" i="1" s="1"/>
  <c r="AC10" i="1" s="1"/>
  <c r="AD10" i="1" s="1"/>
  <c r="AE10" i="1" s="1"/>
  <c r="AF10" i="1" s="1"/>
  <c r="AG10" i="1" s="1"/>
  <c r="AH10" i="1" s="1"/>
  <c r="AI10" i="1" s="1"/>
  <c r="K16" i="2" l="1"/>
  <c r="F16" i="1"/>
  <c r="E15" i="1"/>
  <c r="F15" i="1"/>
  <c r="F17" i="1" s="1"/>
  <c r="AH15" i="1"/>
  <c r="N15" i="1"/>
  <c r="V15" i="1"/>
  <c r="AD15" i="1"/>
  <c r="G15" i="1"/>
  <c r="W15" i="1"/>
  <c r="AE15" i="1"/>
  <c r="H15" i="1"/>
  <c r="P15" i="1"/>
  <c r="X15" i="1"/>
  <c r="AF15" i="1"/>
  <c r="I15" i="1"/>
  <c r="Q15" i="1"/>
  <c r="Y15" i="1"/>
  <c r="AG15" i="1"/>
  <c r="J15" i="1"/>
  <c r="R15" i="1"/>
  <c r="K15" i="1"/>
  <c r="L15" i="1"/>
  <c r="M15" i="1"/>
  <c r="O15" i="1"/>
  <c r="Z15" i="1"/>
  <c r="S15" i="1"/>
  <c r="T15" i="1"/>
  <c r="AB15" i="1"/>
  <c r="U15" i="1"/>
  <c r="AA15" i="1"/>
  <c r="AC15" i="1"/>
  <c r="L16" i="2" l="1"/>
  <c r="L17" i="2"/>
  <c r="M17" i="2" s="1"/>
  <c r="G16" i="1"/>
  <c r="H16" i="1" s="1"/>
  <c r="I16" i="1" s="1"/>
  <c r="J16" i="1" s="1"/>
  <c r="K16" i="1" s="1"/>
  <c r="L16" i="1" s="1"/>
  <c r="M16" i="1" s="1"/>
  <c r="N16" i="1" s="1"/>
  <c r="O16" i="1" s="1"/>
  <c r="P16" i="1" s="1"/>
  <c r="Q16" i="1" s="1"/>
  <c r="R16" i="1" s="1"/>
  <c r="S16" i="1" s="1"/>
  <c r="T16" i="1" s="1"/>
  <c r="U16" i="1" s="1"/>
  <c r="V16" i="1" s="1"/>
  <c r="W16" i="1" s="1"/>
  <c r="X16" i="1" s="1"/>
  <c r="Y16" i="1" s="1"/>
  <c r="Z16" i="1" s="1"/>
  <c r="AA16" i="1" s="1"/>
  <c r="AB16" i="1" s="1"/>
  <c r="AC16" i="1" s="1"/>
  <c r="AD16" i="1" s="1"/>
  <c r="AE16" i="1" s="1"/>
  <c r="AF16" i="1" s="1"/>
  <c r="AG16" i="1" s="1"/>
  <c r="AH16" i="1" s="1"/>
  <c r="G17" i="1"/>
  <c r="H17" i="1" s="1"/>
  <c r="I17" i="1" s="1"/>
  <c r="J17" i="1" s="1"/>
  <c r="K17" i="1" s="1"/>
  <c r="L17" i="1" s="1"/>
  <c r="M17" i="1" s="1"/>
  <c r="N17" i="1" s="1"/>
  <c r="O17" i="1" s="1"/>
  <c r="P17" i="1" s="1"/>
  <c r="Q17" i="1" s="1"/>
  <c r="R17" i="1" s="1"/>
  <c r="S17" i="1" s="1"/>
  <c r="M16" i="2" l="1"/>
  <c r="T17" i="1"/>
  <c r="U17" i="1" s="1"/>
  <c r="V17" i="1" s="1"/>
  <c r="W17" i="1" s="1"/>
  <c r="X17" i="1" s="1"/>
  <c r="Y17" i="1" s="1"/>
  <c r="Z17" i="1" s="1"/>
  <c r="AA17" i="1" s="1"/>
  <c r="AB17" i="1" s="1"/>
  <c r="AC17" i="1" s="1"/>
  <c r="AD17" i="1" s="1"/>
  <c r="AE17" i="1" s="1"/>
  <c r="AF17" i="1" s="1"/>
  <c r="AG17" i="1" s="1"/>
  <c r="AH17" i="1" s="1"/>
  <c r="AH13" i="1" s="1"/>
  <c r="AG13" i="1" s="1"/>
  <c r="AF13" i="1" s="1"/>
  <c r="AE13" i="1" s="1"/>
  <c r="AD13" i="1" s="1"/>
  <c r="AC13" i="1" s="1"/>
  <c r="AB13" i="1" s="1"/>
  <c r="AA13" i="1" s="1"/>
  <c r="Z13" i="1" s="1"/>
  <c r="Y13" i="1" s="1"/>
  <c r="X13" i="1" s="1"/>
  <c r="W13" i="1" s="1"/>
  <c r="V13" i="1" s="1"/>
  <c r="U13" i="1" s="1"/>
  <c r="T13" i="1" s="1"/>
  <c r="S13" i="1" s="1"/>
  <c r="R13" i="1" s="1"/>
  <c r="Q13" i="1" s="1"/>
  <c r="P13" i="1" s="1"/>
  <c r="O13" i="1" s="1"/>
  <c r="N13" i="1" s="1"/>
  <c r="M13" i="1" s="1"/>
  <c r="L13" i="1" s="1"/>
  <c r="K13" i="1" s="1"/>
  <c r="J13" i="1" s="1"/>
  <c r="I13" i="1" s="1"/>
  <c r="H13" i="1" s="1"/>
  <c r="G13" i="1" s="1"/>
  <c r="F13" i="1" s="1"/>
  <c r="N16" i="2" l="1"/>
  <c r="N17" i="2"/>
  <c r="O17" i="2" s="1"/>
  <c r="O16" i="2" l="1"/>
  <c r="P16" i="2" l="1"/>
  <c r="P17" i="2"/>
  <c r="Q17" i="2" s="1"/>
  <c r="Q16" i="2" l="1"/>
  <c r="R16" i="2" l="1"/>
  <c r="R17" i="2"/>
  <c r="S17" i="2" s="1"/>
  <c r="S16" i="2" l="1"/>
  <c r="T16" i="2" l="1"/>
  <c r="T17" i="2"/>
  <c r="U17" i="2" s="1"/>
  <c r="U16" i="2" l="1"/>
  <c r="V16" i="2" l="1"/>
  <c r="V17" i="2"/>
  <c r="W17" i="2" s="1"/>
  <c r="W16" i="2" l="1"/>
  <c r="X16" i="2" l="1"/>
  <c r="X17" i="2"/>
  <c r="Y17" i="2" s="1"/>
  <c r="Y16" i="2" l="1"/>
  <c r="Z16" i="2" l="1"/>
  <c r="Z17" i="2"/>
  <c r="AA17" i="2" s="1"/>
  <c r="AA16" i="2" l="1"/>
  <c r="AB16" i="2" l="1"/>
  <c r="AB17" i="2"/>
  <c r="AC17" i="2" s="1"/>
  <c r="AC16" i="2" l="1"/>
  <c r="AD16" i="2" l="1"/>
  <c r="AD17" i="2"/>
  <c r="AE17" i="2" s="1"/>
  <c r="AE16" i="2" l="1"/>
  <c r="AF16" i="2" l="1"/>
  <c r="AF17" i="2"/>
  <c r="AG17" i="2" s="1"/>
  <c r="AG16" i="2" l="1"/>
  <c r="AH16" i="2" l="1"/>
  <c r="AH17" i="2"/>
  <c r="AH13" i="2" l="1"/>
  <c r="AG13" i="2" s="1"/>
  <c r="AF13" i="2" s="1"/>
  <c r="AE13" i="2" s="1"/>
  <c r="AD13" i="2" s="1"/>
  <c r="AC13" i="2" s="1"/>
  <c r="AB13" i="2" s="1"/>
  <c r="AA13" i="2" s="1"/>
  <c r="Z13" i="2" s="1"/>
  <c r="Y13" i="2" s="1"/>
  <c r="X13" i="2" s="1"/>
  <c r="W13" i="2" s="1"/>
  <c r="V13" i="2" s="1"/>
  <c r="U13" i="2" s="1"/>
  <c r="T13" i="2" s="1"/>
  <c r="S13" i="2" s="1"/>
  <c r="R13" i="2" s="1"/>
  <c r="Q13" i="2" s="1"/>
  <c r="P13" i="2" s="1"/>
  <c r="O13" i="2" s="1"/>
  <c r="N13" i="2" s="1"/>
  <c r="M13" i="2" s="1"/>
  <c r="L13" i="2" s="1"/>
  <c r="K13" i="2" s="1"/>
  <c r="J13" i="2" s="1"/>
  <c r="I13" i="2" s="1"/>
  <c r="H13" i="2" s="1"/>
  <c r="G13" i="2" s="1"/>
  <c r="F13" i="2" s="1"/>
</calcChain>
</file>

<file path=xl/sharedStrings.xml><?xml version="1.0" encoding="utf-8"?>
<sst xmlns="http://schemas.openxmlformats.org/spreadsheetml/2006/main" count="38" uniqueCount="17">
  <si>
    <t>L</t>
  </si>
  <si>
    <t>dx</t>
  </si>
  <si>
    <t>dt</t>
  </si>
  <si>
    <t>t</t>
  </si>
  <si>
    <t>Cp</t>
  </si>
  <si>
    <t>r0</t>
  </si>
  <si>
    <t>lamda</t>
  </si>
  <si>
    <t>tstart</t>
  </si>
  <si>
    <t>tend</t>
  </si>
  <si>
    <t>q</t>
  </si>
  <si>
    <t>alfa</t>
  </si>
  <si>
    <t>A</t>
  </si>
  <si>
    <t>B</t>
  </si>
  <si>
    <t>C</t>
  </si>
  <si>
    <t>F</t>
  </si>
  <si>
    <t>betta</t>
  </si>
  <si>
    <t>titer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</si>
</sst>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"/>
  </numFmts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5">
    <xf numFmtId="0" fontId="0" fillId="0" borderId="0" xfId="0"/>
    <xf numFmtId="164" fontId="0" fillId="0" borderId="0" xfId="0" applyNumberFormat="1"/>
    <xf numFmtId="0" fontId="0" fillId="0" borderId="1" xfId="0" applyBorder="1"/>
    <xf numFmtId="0" fontId="0" fillId="0" borderId="2" xfId="0" applyBorder="1"/>
    <xf numFmtId="1" fontId="0" fillId="0" borderId="1" xfId="0" applyNumberForma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Лист1!$E$10:$AI$10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Лист1!$E$11:$AI$11</c:f>
              <c:numCache>
                <c:formatCode>General</c:formatCode>
                <c:ptCount val="31"/>
                <c:pt idx="0">
                  <c:v>300</c:v>
                </c:pt>
                <c:pt idx="1">
                  <c:v>293.16633136757514</c:v>
                </c:pt>
                <c:pt idx="2">
                  <c:v>286.33449246099906</c:v>
                </c:pt>
                <c:pt idx="3">
                  <c:v>279.50629295850217</c:v>
                </c:pt>
                <c:pt idx="4">
                  <c:v>272.68350266275775</c:v>
                </c:pt>
                <c:pt idx="5">
                  <c:v>265.86783210989233</c:v>
                </c:pt>
                <c:pt idx="6">
                  <c:v>259.06091382792704</c:v>
                </c:pt>
                <c:pt idx="7">
                  <c:v>252.26428445001025</c:v>
                </c:pt>
                <c:pt idx="8">
                  <c:v>245.47936787843298</c:v>
                </c:pt>
                <c:pt idx="9">
                  <c:v>238.7074596838988</c:v>
                </c:pt>
                <c:pt idx="10">
                  <c:v>231.94971291098005</c:v>
                </c:pt>
                <c:pt idx="11">
                  <c:v>225.20712544527885</c:v>
                </c:pt>
                <c:pt idx="12">
                  <c:v>218.48052908069405</c:v>
                </c:pt>
                <c:pt idx="13">
                  <c:v>211.77058040656175</c:v>
                </c:pt>
                <c:pt idx="14">
                  <c:v>205.07775361449211</c:v>
                </c:pt>
                <c:pt idx="15">
                  <c:v>198.40233530368783</c:v>
                </c:pt>
                <c:pt idx="16">
                  <c:v>191.74442134162911</c:v>
                </c:pt>
                <c:pt idx="17">
                  <c:v>185.10391581448815</c:v>
                </c:pt>
                <c:pt idx="18">
                  <c:v>178.48053207874017</c:v>
                </c:pt>
                <c:pt idx="19">
                  <c:v>171.87379590241568</c:v>
                </c:pt>
                <c:pt idx="20">
                  <c:v>165.28305066154584</c:v>
                </c:pt>
                <c:pt idx="21">
                  <c:v>158.70746453483932</c:v>
                </c:pt>
                <c:pt idx="22">
                  <c:v>152.14603961773884</c:v>
                </c:pt>
                <c:pt idx="23">
                  <c:v>145.59762285598276</c:v>
                </c:pt>
                <c:pt idx="24">
                  <c:v>139.06091867886758</c:v>
                </c:pt>
                <c:pt idx="25">
                  <c:v>132.53450319379147</c:v>
                </c:pt>
                <c:pt idx="26">
                  <c:v>126.01683978656121</c:v>
                </c:pt>
                <c:pt idx="27">
                  <c:v>119.5062959565482</c:v>
                </c:pt>
                <c:pt idx="28">
                  <c:v>113.00116120225869</c:v>
                </c:pt>
                <c:pt idx="29">
                  <c:v>106.49966576137879</c:v>
                </c:pt>
                <c:pt idx="30">
                  <c:v>100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198-4AF9-97FF-93DAFFF6CA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1019407"/>
        <c:axId val="1451021071"/>
      </c:scatterChart>
      <c:valAx>
        <c:axId val="14510194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51021071"/>
        <c:crosses val="autoZero"/>
        <c:crossBetween val="midCat"/>
      </c:valAx>
      <c:valAx>
        <c:axId val="1451021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51019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[1]Лист1!$E$10:$AI$10</c:f>
              <c:numCache>
                <c:formatCode>General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xVal>
          <c:yVal>
            <c:numRef>
              <c:f>[1]Лист1!$E$11:$AI$11</c:f>
              <c:numCache>
                <c:formatCode>General</c:formatCode>
                <c:ptCount val="31"/>
                <c:pt idx="0">
                  <c:v>300</c:v>
                </c:pt>
                <c:pt idx="1">
                  <c:v>292.21368214735639</c:v>
                </c:pt>
                <c:pt idx="2">
                  <c:v>284.439632993462</c:v>
                </c:pt>
                <c:pt idx="3">
                  <c:v>276.689986750191</c:v>
                </c:pt>
                <c:pt idx="4">
                  <c:v>268.97661013212502</c:v>
                </c:pt>
                <c:pt idx="5">
                  <c:v>261.31097228274467</c:v>
                </c:pt>
                <c:pt idx="6">
                  <c:v>253.7040190649484</c:v>
                </c:pt>
                <c:pt idx="7">
                  <c:v>246.16605309543681</c:v>
                </c:pt>
                <c:pt idx="8">
                  <c:v>238.70662083909593</c:v>
                </c:pt>
                <c:pt idx="9">
                  <c:v>231.33440800162151</c:v>
                </c:pt>
                <c:pt idx="10">
                  <c:v>224.05714436711008</c:v>
                </c:pt>
                <c:pt idx="11">
                  <c:v>216.88151912323576</c:v>
                </c:pt>
                <c:pt idx="12">
                  <c:v>209.81310760110242</c:v>
                </c:pt>
                <c:pt idx="13">
                  <c:v>202.85631023120138</c:v>
                </c:pt>
                <c:pt idx="14">
                  <c:v>196.01430438251862</c:v>
                </c:pt>
                <c:pt idx="15">
                  <c:v>189.28900961021589</c:v>
                </c:pt>
                <c:pt idx="16">
                  <c:v>182.68106669003538</c:v>
                </c:pt>
                <c:pt idx="17">
                  <c:v>176.18983066627078</c:v>
                </c:pt>
                <c:pt idx="18">
                  <c:v>169.81337798648079</c:v>
                </c:pt>
                <c:pt idx="19">
                  <c:v>163.54852764178463</c:v>
                </c:pt>
                <c:pt idx="20">
                  <c:v>157.3908760782617</c:v>
                </c:pt>
                <c:pt idx="21">
                  <c:v>151.33484549435349</c:v>
                </c:pt>
                <c:pt idx="22">
                  <c:v>145.3737449928766</c:v>
                </c:pt>
                <c:pt idx="23">
                  <c:v>139.49984391588401</c:v>
                </c:pt>
                <c:pt idx="24">
                  <c:v>133.70445655768003</c:v>
                </c:pt>
                <c:pt idx="25">
                  <c:v>127.97803732722903</c:v>
                </c:pt>
                <c:pt idx="26">
                  <c:v>122.3102853173399</c:v>
                </c:pt>
                <c:pt idx="27">
                  <c:v>116.69025713556866</c:v>
                </c:pt>
                <c:pt idx="28">
                  <c:v>111.1064867618642</c:v>
                </c:pt>
                <c:pt idx="29">
                  <c:v>105.54711112153952</c:v>
                </c:pt>
                <c:pt idx="30">
                  <c:v>98.880444454872844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FF-4AE0-A470-5F3C243D11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1019407"/>
        <c:axId val="1451021071"/>
      </c:scatterChart>
      <c:valAx>
        <c:axId val="14510194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51021071"/>
        <c:crosses val="autoZero"/>
        <c:crossBetween val="midCat"/>
      </c:valAx>
      <c:valAx>
        <c:axId val="1451021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45101940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631371</xdr:colOff>
      <xdr:row>19</xdr:row>
      <xdr:rowOff>65312</xdr:rowOff>
    </xdr:from>
    <xdr:to>
      <xdr:col>14</xdr:col>
      <xdr:colOff>391886</xdr:colOff>
      <xdr:row>39</xdr:row>
      <xdr:rowOff>119742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278674</xdr:colOff>
      <xdr:row>18</xdr:row>
      <xdr:rowOff>67490</xdr:rowOff>
    </xdr:from>
    <xdr:to>
      <xdr:col>12</xdr:col>
      <xdr:colOff>106680</xdr:colOff>
      <xdr:row>42</xdr:row>
      <xdr:rowOff>165462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asha/Downloads/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Лист2"/>
      <sheetName val="Лист3"/>
    </sheetNames>
    <sheetDataSet>
      <sheetData sheetId="0">
        <row r="10">
          <cell r="E10">
            <v>0</v>
          </cell>
          <cell r="F10">
            <v>3.3333333333333335E-3</v>
          </cell>
          <cell r="G10">
            <v>6.6666666666666671E-3</v>
          </cell>
          <cell r="H10">
            <v>0.01</v>
          </cell>
          <cell r="I10">
            <v>1.3333333333333334E-2</v>
          </cell>
          <cell r="J10">
            <v>1.6666666666666666E-2</v>
          </cell>
          <cell r="K10">
            <v>0.02</v>
          </cell>
          <cell r="L10">
            <v>2.3333333333333334E-2</v>
          </cell>
          <cell r="M10">
            <v>2.6666666666666668E-2</v>
          </cell>
          <cell r="N10">
            <v>3.0000000000000002E-2</v>
          </cell>
          <cell r="O10">
            <v>3.3333333333333333E-2</v>
          </cell>
          <cell r="P10">
            <v>3.6666666666666667E-2</v>
          </cell>
          <cell r="Q10">
            <v>0.04</v>
          </cell>
          <cell r="R10">
            <v>4.3333333333333335E-2</v>
          </cell>
          <cell r="S10">
            <v>4.6666666666666669E-2</v>
          </cell>
          <cell r="T10">
            <v>0.05</v>
          </cell>
          <cell r="U10">
            <v>5.3333333333333337E-2</v>
          </cell>
          <cell r="V10">
            <v>5.6666666666666671E-2</v>
          </cell>
          <cell r="W10">
            <v>6.0000000000000005E-2</v>
          </cell>
          <cell r="X10">
            <v>6.3333333333333339E-2</v>
          </cell>
          <cell r="Y10">
            <v>6.6666666666666666E-2</v>
          </cell>
          <cell r="Z10">
            <v>6.9999999999999993E-2</v>
          </cell>
          <cell r="AA10">
            <v>7.333333333333332E-2</v>
          </cell>
          <cell r="AB10">
            <v>7.6666666666666647E-2</v>
          </cell>
          <cell r="AC10">
            <v>7.9999999999999974E-2</v>
          </cell>
          <cell r="AD10">
            <v>8.3333333333333301E-2</v>
          </cell>
          <cell r="AE10">
            <v>8.6666666666666628E-2</v>
          </cell>
          <cell r="AF10">
            <v>8.9999999999999955E-2</v>
          </cell>
          <cell r="AG10">
            <v>9.3333333333333282E-2</v>
          </cell>
          <cell r="AH10">
            <v>9.6666666666666609E-2</v>
          </cell>
          <cell r="AI10">
            <v>9.9999999999999936E-2</v>
          </cell>
        </row>
        <row r="11">
          <cell r="E11">
            <v>300</v>
          </cell>
          <cell r="F11">
            <v>292.21368214735639</v>
          </cell>
          <cell r="G11">
            <v>284.439632993462</v>
          </cell>
          <cell r="H11">
            <v>276.689986750191</v>
          </cell>
          <cell r="I11">
            <v>268.97661013212502</v>
          </cell>
          <cell r="J11">
            <v>261.31097228274467</v>
          </cell>
          <cell r="K11">
            <v>253.7040190649484</v>
          </cell>
          <cell r="L11">
            <v>246.16605309543681</v>
          </cell>
          <cell r="M11">
            <v>238.70662083909593</v>
          </cell>
          <cell r="N11">
            <v>231.33440800162151</v>
          </cell>
          <cell r="O11">
            <v>224.05714436711008</v>
          </cell>
          <cell r="P11">
            <v>216.88151912323576</v>
          </cell>
          <cell r="Q11">
            <v>209.81310760110242</v>
          </cell>
          <cell r="R11">
            <v>202.85631023120138</v>
          </cell>
          <cell r="S11">
            <v>196.01430438251862</v>
          </cell>
          <cell r="T11">
            <v>189.28900961021589</v>
          </cell>
          <cell r="U11">
            <v>182.68106669003538</v>
          </cell>
          <cell r="V11">
            <v>176.18983066627078</v>
          </cell>
          <cell r="W11">
            <v>169.81337798648079</v>
          </cell>
          <cell r="X11">
            <v>163.54852764178463</v>
          </cell>
          <cell r="Y11">
            <v>157.3908760782617</v>
          </cell>
          <cell r="Z11">
            <v>151.33484549435349</v>
          </cell>
          <cell r="AA11">
            <v>145.3737449928766</v>
          </cell>
          <cell r="AB11">
            <v>139.49984391588401</v>
          </cell>
          <cell r="AC11">
            <v>133.70445655768003</v>
          </cell>
          <cell r="AD11">
            <v>127.97803732722903</v>
          </cell>
          <cell r="AE11">
            <v>122.3102853173399</v>
          </cell>
          <cell r="AF11">
            <v>116.69025713556866</v>
          </cell>
          <cell r="AG11">
            <v>111.1064867618642</v>
          </cell>
          <cell r="AH11">
            <v>105.54711112153952</v>
          </cell>
          <cell r="AI11">
            <v>98.880444454872844</v>
          </cell>
        </row>
      </sheetData>
      <sheetData sheetId="1"/>
      <sheetData sheetId="2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I17"/>
  <sheetViews>
    <sheetView zoomScale="70" zoomScaleNormal="70" workbookViewId="0">
      <selection activeCell="B27" sqref="B27"/>
    </sheetView>
  </sheetViews>
  <sheetFormatPr defaultRowHeight="14.4" x14ac:dyDescent="0.3"/>
  <cols>
    <col min="2" max="2" width="12.21875" bestFit="1" customWidth="1"/>
    <col min="5" max="6" width="12.77734375" bestFit="1" customWidth="1"/>
    <col min="7" max="33" width="7.44140625" bestFit="1" customWidth="1"/>
    <col min="34" max="34" width="13" bestFit="1" customWidth="1"/>
    <col min="35" max="35" width="7.44140625" bestFit="1" customWidth="1"/>
  </cols>
  <sheetData>
    <row r="1" spans="1:35" x14ac:dyDescent="0.3">
      <c r="A1" t="s">
        <v>0</v>
      </c>
      <c r="B1">
        <v>0.1</v>
      </c>
    </row>
    <row r="2" spans="1:35" x14ac:dyDescent="0.3">
      <c r="A2" t="s">
        <v>1</v>
      </c>
      <c r="B2">
        <f>B1/30</f>
        <v>3.3333333333333335E-3</v>
      </c>
    </row>
    <row r="3" spans="1:35" x14ac:dyDescent="0.3">
      <c r="A3" t="s">
        <v>2</v>
      </c>
      <c r="B3">
        <v>30</v>
      </c>
      <c r="E3">
        <f>(B7*B6*B2^2)/(2*B8)</f>
        <v>0.4333333333333334</v>
      </c>
    </row>
    <row r="4" spans="1:35" x14ac:dyDescent="0.3">
      <c r="A4" t="s">
        <v>3</v>
      </c>
      <c r="B4">
        <v>60</v>
      </c>
      <c r="C4">
        <v>90</v>
      </c>
    </row>
    <row r="6" spans="1:35" x14ac:dyDescent="0.3">
      <c r="A6" t="s">
        <v>4</v>
      </c>
      <c r="B6">
        <v>460</v>
      </c>
    </row>
    <row r="7" spans="1:35" x14ac:dyDescent="0.3">
      <c r="A7" t="s">
        <v>5</v>
      </c>
      <c r="B7">
        <v>7800</v>
      </c>
    </row>
    <row r="8" spans="1:35" x14ac:dyDescent="0.3">
      <c r="A8" t="s">
        <v>6</v>
      </c>
      <c r="B8">
        <v>46</v>
      </c>
    </row>
    <row r="9" spans="1:35" x14ac:dyDescent="0.3">
      <c r="E9">
        <v>1</v>
      </c>
      <c r="F9">
        <v>2</v>
      </c>
      <c r="G9">
        <v>3</v>
      </c>
      <c r="H9">
        <v>4</v>
      </c>
      <c r="I9">
        <v>5</v>
      </c>
      <c r="J9">
        <v>6</v>
      </c>
      <c r="K9">
        <v>7</v>
      </c>
      <c r="L9">
        <v>8</v>
      </c>
      <c r="M9">
        <v>9</v>
      </c>
      <c r="N9">
        <v>10</v>
      </c>
      <c r="O9">
        <v>11</v>
      </c>
      <c r="P9">
        <v>12</v>
      </c>
      <c r="Q9">
        <v>13</v>
      </c>
      <c r="R9">
        <v>14</v>
      </c>
      <c r="S9">
        <v>15</v>
      </c>
      <c r="T9">
        <v>16</v>
      </c>
      <c r="U9">
        <v>17</v>
      </c>
      <c r="V9">
        <v>18</v>
      </c>
      <c r="W9">
        <v>19</v>
      </c>
      <c r="X9">
        <v>20</v>
      </c>
      <c r="Y9">
        <v>21</v>
      </c>
      <c r="Z9">
        <v>22</v>
      </c>
      <c r="AA9">
        <v>23</v>
      </c>
      <c r="AB9">
        <v>24</v>
      </c>
      <c r="AC9">
        <v>25</v>
      </c>
      <c r="AD9">
        <v>26</v>
      </c>
      <c r="AE9">
        <v>27</v>
      </c>
      <c r="AF9">
        <v>28</v>
      </c>
      <c r="AG9">
        <v>29</v>
      </c>
      <c r="AH9">
        <v>30</v>
      </c>
      <c r="AI9">
        <v>31</v>
      </c>
    </row>
    <row r="10" spans="1:35" x14ac:dyDescent="0.3">
      <c r="A10" t="s">
        <v>7</v>
      </c>
      <c r="B10">
        <v>300</v>
      </c>
      <c r="D10" t="s">
        <v>0</v>
      </c>
      <c r="E10" s="1">
        <v>0</v>
      </c>
      <c r="F10" s="1">
        <f>E10+$B$2</f>
        <v>3.3333333333333335E-3</v>
      </c>
      <c r="G10" s="1">
        <f t="shared" ref="G10:AI10" si="0">F10+$B$2</f>
        <v>6.6666666666666671E-3</v>
      </c>
      <c r="H10" s="1">
        <f t="shared" si="0"/>
        <v>0.01</v>
      </c>
      <c r="I10" s="1">
        <f t="shared" si="0"/>
        <v>1.3333333333333334E-2</v>
      </c>
      <c r="J10" s="1">
        <f t="shared" si="0"/>
        <v>1.6666666666666666E-2</v>
      </c>
      <c r="K10" s="1">
        <f t="shared" si="0"/>
        <v>0.02</v>
      </c>
      <c r="L10" s="1">
        <f t="shared" si="0"/>
        <v>2.3333333333333334E-2</v>
      </c>
      <c r="M10" s="1">
        <f t="shared" si="0"/>
        <v>2.6666666666666668E-2</v>
      </c>
      <c r="N10" s="1">
        <f t="shared" si="0"/>
        <v>3.0000000000000002E-2</v>
      </c>
      <c r="O10" s="1">
        <f t="shared" si="0"/>
        <v>3.3333333333333333E-2</v>
      </c>
      <c r="P10" s="1">
        <f t="shared" si="0"/>
        <v>3.6666666666666667E-2</v>
      </c>
      <c r="Q10" s="1">
        <f t="shared" si="0"/>
        <v>0.04</v>
      </c>
      <c r="R10" s="1">
        <f t="shared" si="0"/>
        <v>4.3333333333333335E-2</v>
      </c>
      <c r="S10" s="1">
        <f t="shared" si="0"/>
        <v>4.6666666666666669E-2</v>
      </c>
      <c r="T10" s="1">
        <f t="shared" si="0"/>
        <v>0.05</v>
      </c>
      <c r="U10" s="1">
        <f t="shared" si="0"/>
        <v>5.3333333333333337E-2</v>
      </c>
      <c r="V10" s="1">
        <f t="shared" si="0"/>
        <v>5.6666666666666671E-2</v>
      </c>
      <c r="W10" s="1">
        <f t="shared" si="0"/>
        <v>6.0000000000000005E-2</v>
      </c>
      <c r="X10" s="1">
        <f t="shared" si="0"/>
        <v>6.3333333333333339E-2</v>
      </c>
      <c r="Y10" s="1">
        <f t="shared" si="0"/>
        <v>6.6666666666666666E-2</v>
      </c>
      <c r="Z10" s="1">
        <f t="shared" si="0"/>
        <v>6.9999999999999993E-2</v>
      </c>
      <c r="AA10" s="1">
        <f t="shared" si="0"/>
        <v>7.333333333333332E-2</v>
      </c>
      <c r="AB10" s="1">
        <f t="shared" si="0"/>
        <v>7.6666666666666647E-2</v>
      </c>
      <c r="AC10" s="1">
        <f t="shared" si="0"/>
        <v>7.9999999999999974E-2</v>
      </c>
      <c r="AD10" s="1">
        <f t="shared" si="0"/>
        <v>8.3333333333333301E-2</v>
      </c>
      <c r="AE10" s="1">
        <f t="shared" si="0"/>
        <v>8.6666666666666628E-2</v>
      </c>
      <c r="AF10" s="1">
        <f t="shared" si="0"/>
        <v>8.9999999999999955E-2</v>
      </c>
      <c r="AG10" s="1">
        <f t="shared" si="0"/>
        <v>9.3333333333333282E-2</v>
      </c>
      <c r="AH10" s="1">
        <f t="shared" si="0"/>
        <v>9.6666666666666609E-2</v>
      </c>
      <c r="AI10" s="1">
        <f t="shared" si="0"/>
        <v>9.9999999999999936E-2</v>
      </c>
    </row>
    <row r="11" spans="1:35" x14ac:dyDescent="0.3">
      <c r="A11" t="s">
        <v>8</v>
      </c>
      <c r="B11">
        <v>100</v>
      </c>
      <c r="D11" t="s">
        <v>3</v>
      </c>
      <c r="E11">
        <f>B10</f>
        <v>300</v>
      </c>
      <c r="F11">
        <v>293.16633136757514</v>
      </c>
      <c r="G11">
        <v>286.33449246099906</v>
      </c>
      <c r="H11">
        <v>279.50629295850217</v>
      </c>
      <c r="I11">
        <v>272.68350266275775</v>
      </c>
      <c r="J11">
        <v>265.86783210989233</v>
      </c>
      <c r="K11">
        <v>259.06091382792704</v>
      </c>
      <c r="L11">
        <v>252.26428445001025</v>
      </c>
      <c r="M11">
        <v>245.47936787843298</v>
      </c>
      <c r="N11">
        <v>238.7074596838988</v>
      </c>
      <c r="O11">
        <v>231.94971291098005</v>
      </c>
      <c r="P11">
        <v>225.20712544527885</v>
      </c>
      <c r="Q11">
        <v>218.48052908069405</v>
      </c>
      <c r="R11">
        <v>211.77058040656175</v>
      </c>
      <c r="S11">
        <v>205.07775361449211</v>
      </c>
      <c r="T11">
        <v>198.40233530368783</v>
      </c>
      <c r="U11">
        <v>191.74442134162911</v>
      </c>
      <c r="V11">
        <v>185.10391581448815</v>
      </c>
      <c r="W11">
        <v>178.48053207874017</v>
      </c>
      <c r="X11">
        <v>171.87379590241568</v>
      </c>
      <c r="Y11">
        <v>165.28305066154584</v>
      </c>
      <c r="Z11">
        <v>158.70746453483932</v>
      </c>
      <c r="AA11">
        <v>152.14603961773884</v>
      </c>
      <c r="AB11">
        <v>145.59762285598276</v>
      </c>
      <c r="AC11">
        <v>139.06091867886758</v>
      </c>
      <c r="AD11">
        <v>132.53450319379147</v>
      </c>
      <c r="AE11">
        <v>126.01683978656121</v>
      </c>
      <c r="AF11">
        <v>119.5062959565482</v>
      </c>
      <c r="AG11">
        <v>113.00116120225869</v>
      </c>
      <c r="AH11">
        <v>106.49966576137879</v>
      </c>
      <c r="AI11">
        <f>B11</f>
        <v>100</v>
      </c>
    </row>
    <row r="13" spans="1:35" x14ac:dyDescent="0.3">
      <c r="A13" t="s">
        <v>11</v>
      </c>
      <c r="B13">
        <f>B8/B2^2</f>
        <v>4139999.9999999991</v>
      </c>
      <c r="D13" t="s">
        <v>16</v>
      </c>
      <c r="F13">
        <f>F16*G13+F17</f>
        <v>293.21225208252747</v>
      </c>
      <c r="G13">
        <f t="shared" ref="G13:AF13" si="1">G16*H13+G17</f>
        <v>286.42583076348694</v>
      </c>
      <c r="H13">
        <f t="shared" si="1"/>
        <v>279.6420481065183</v>
      </c>
      <c r="I13">
        <f t="shared" si="1"/>
        <v>272.86218726493678</v>
      </c>
      <c r="J13">
        <f t="shared" si="1"/>
        <v>266.08748842297376</v>
      </c>
      <c r="K13">
        <f t="shared" si="1"/>
        <v>259.31913520783309</v>
      </c>
      <c r="L13">
        <f t="shared" si="1"/>
        <v>252.55824172144523</v>
      </c>
      <c r="M13">
        <f t="shared" si="1"/>
        <v>245.80584033400996</v>
      </c>
      <c r="N13">
        <f t="shared" si="1"/>
        <v>239.0628703730691</v>
      </c>
      <c r="O13">
        <f t="shared" si="1"/>
        <v>232.3301678320376</v>
      </c>
      <c r="P13">
        <f t="shared" si="1"/>
        <v>225.60845621094774</v>
      </c>
      <c r="Q13">
        <f t="shared" si="1"/>
        <v>218.89833858975499</v>
      </c>
      <c r="R13">
        <f t="shared" si="1"/>
        <v>212.20029102104621</v>
      </c>
      <c r="S13">
        <f t="shared" si="1"/>
        <v>205.51465731453365</v>
      </c>
      <c r="T13">
        <f t="shared" si="1"/>
        <v>198.8416452704667</v>
      </c>
      <c r="U13">
        <f t="shared" si="1"/>
        <v>192.18132440321781</v>
      </c>
      <c r="V13">
        <f t="shared" si="1"/>
        <v>185.53362517997039</v>
      </c>
      <c r="W13">
        <f t="shared" si="1"/>
        <v>178.8983397828369</v>
      </c>
      <c r="X13">
        <f t="shared" si="1"/>
        <v>172.27512438604396</v>
      </c>
      <c r="Y13">
        <f t="shared" si="1"/>
        <v>165.6635029232225</v>
      </c>
      <c r="Z13">
        <f t="shared" si="1"/>
        <v>159.06287230351614</v>
      </c>
      <c r="AA13">
        <f t="shared" si="1"/>
        <v>152.47250901934936</v>
      </c>
      <c r="AB13">
        <f t="shared" si="1"/>
        <v>145.89157707345132</v>
      </c>
      <c r="AC13">
        <f t="shared" si="1"/>
        <v>139.31913713828015</v>
      </c>
      <c r="AD13">
        <f t="shared" si="1"/>
        <v>132.754156847492</v>
      </c>
      <c r="AE13">
        <f t="shared" si="1"/>
        <v>126.19552210669967</v>
      </c>
      <c r="AF13">
        <f t="shared" si="1"/>
        <v>119.6420492996002</v>
      </c>
      <c r="AG13">
        <f>AG16*AH13+AG17</f>
        <v>113.09249825574447</v>
      </c>
      <c r="AH13">
        <f>AH16*AI13+AH17</f>
        <v>106.54558583787835</v>
      </c>
      <c r="AI13">
        <v>100</v>
      </c>
    </row>
    <row r="14" spans="1:35" x14ac:dyDescent="0.3">
      <c r="A14" t="s">
        <v>12</v>
      </c>
      <c r="B14">
        <f>(2*B8)/(B2^2)+(B7*B6)/B3</f>
        <v>8399599.9999999981</v>
      </c>
    </row>
    <row r="15" spans="1:35" x14ac:dyDescent="0.3">
      <c r="A15" t="s">
        <v>13</v>
      </c>
      <c r="B15">
        <f>B8/B2^2</f>
        <v>4139999.9999999991</v>
      </c>
      <c r="D15" t="s">
        <v>14</v>
      </c>
      <c r="E15">
        <f t="shared" ref="E15:AH15" si="2">-$B$7*$B$6*E11/$B$3</f>
        <v>-35880000</v>
      </c>
      <c r="F15">
        <f t="shared" si="2"/>
        <v>-35062693.231561989</v>
      </c>
      <c r="G15">
        <f t="shared" si="2"/>
        <v>-34245605.298335485</v>
      </c>
      <c r="H15">
        <f t="shared" si="2"/>
        <v>-33428952.637836862</v>
      </c>
      <c r="I15">
        <f t="shared" si="2"/>
        <v>-32612946.918465827</v>
      </c>
      <c r="J15">
        <f t="shared" si="2"/>
        <v>-31797792.720343124</v>
      </c>
      <c r="K15">
        <f t="shared" si="2"/>
        <v>-30983685.293820076</v>
      </c>
      <c r="L15">
        <f t="shared" si="2"/>
        <v>-30170808.420221224</v>
      </c>
      <c r="M15">
        <f t="shared" si="2"/>
        <v>-29359332.398260586</v>
      </c>
      <c r="N15">
        <f t="shared" si="2"/>
        <v>-28549412.178194296</v>
      </c>
      <c r="O15">
        <f t="shared" si="2"/>
        <v>-27741185.664153215</v>
      </c>
      <c r="P15">
        <f t="shared" si="2"/>
        <v>-26934772.203255352</v>
      </c>
      <c r="Q15">
        <f t="shared" si="2"/>
        <v>-26130271.278051011</v>
      </c>
      <c r="R15">
        <f t="shared" si="2"/>
        <v>-25327761.416624784</v>
      </c>
      <c r="S15">
        <f t="shared" si="2"/>
        <v>-24527299.332293257</v>
      </c>
      <c r="T15">
        <f t="shared" si="2"/>
        <v>-23728919.302321065</v>
      </c>
      <c r="U15">
        <f t="shared" si="2"/>
        <v>-22932632.79245884</v>
      </c>
      <c r="V15">
        <f t="shared" si="2"/>
        <v>-22138428.331412785</v>
      </c>
      <c r="W15">
        <f t="shared" si="2"/>
        <v>-21346271.636617322</v>
      </c>
      <c r="X15">
        <f t="shared" si="2"/>
        <v>-20556105.989928916</v>
      </c>
      <c r="Y15">
        <f t="shared" si="2"/>
        <v>-19767852.859120883</v>
      </c>
      <c r="Z15">
        <f t="shared" si="2"/>
        <v>-18981412.758366782</v>
      </c>
      <c r="AA15">
        <f t="shared" si="2"/>
        <v>-18196666.338281564</v>
      </c>
      <c r="AB15">
        <f t="shared" si="2"/>
        <v>-17413475.693575539</v>
      </c>
      <c r="AC15">
        <f t="shared" si="2"/>
        <v>-16631685.873992562</v>
      </c>
      <c r="AD15">
        <f t="shared" si="2"/>
        <v>-15851126.581977459</v>
      </c>
      <c r="AE15">
        <f t="shared" si="2"/>
        <v>-15071614.038472719</v>
      </c>
      <c r="AF15">
        <f t="shared" si="2"/>
        <v>-14292952.996403165</v>
      </c>
      <c r="AG15">
        <f t="shared" si="2"/>
        <v>-13514938.879790138</v>
      </c>
      <c r="AH15">
        <f t="shared" si="2"/>
        <v>-12737360.025060903</v>
      </c>
    </row>
    <row r="16" spans="1:35" x14ac:dyDescent="0.3">
      <c r="D16" t="s">
        <v>10</v>
      </c>
      <c r="E16">
        <v>0</v>
      </c>
      <c r="F16">
        <f>$B$13/($B$14-$B$15*E16)</f>
        <v>0.49288061336254108</v>
      </c>
      <c r="G16">
        <f t="shared" ref="G16:AH16" si="3">$B$13/($B$14-$B$15*F16)</f>
        <v>0.6510381590602613</v>
      </c>
      <c r="H16">
        <f t="shared" si="3"/>
        <v>0.72576802287166231</v>
      </c>
      <c r="I16">
        <f t="shared" si="3"/>
        <v>0.76738852556043757</v>
      </c>
      <c r="J16">
        <f t="shared" si="3"/>
        <v>0.79270686641858257</v>
      </c>
      <c r="K16">
        <f t="shared" si="3"/>
        <v>0.80894235785897017</v>
      </c>
      <c r="L16">
        <f t="shared" si="3"/>
        <v>0.81970805651274514</v>
      </c>
      <c r="M16">
        <f t="shared" si="3"/>
        <v>0.82700616253973736</v>
      </c>
      <c r="N16">
        <f t="shared" si="3"/>
        <v>0.83202793257342833</v>
      </c>
      <c r="O16">
        <f t="shared" si="3"/>
        <v>0.83551894204862565</v>
      </c>
      <c r="P16">
        <f t="shared" si="3"/>
        <v>0.83796311667454249</v>
      </c>
      <c r="Q16">
        <f t="shared" si="3"/>
        <v>0.8396828948798809</v>
      </c>
      <c r="R16">
        <f t="shared" si="3"/>
        <v>0.84089720791671796</v>
      </c>
      <c r="S16">
        <f t="shared" si="3"/>
        <v>0.84175673619336178</v>
      </c>
      <c r="T16">
        <f t="shared" si="3"/>
        <v>0.84236619969341997</v>
      </c>
      <c r="U16">
        <f t="shared" si="3"/>
        <v>0.84279888543729231</v>
      </c>
      <c r="V16">
        <f t="shared" si="3"/>
        <v>0.84310633854929817</v>
      </c>
      <c r="W16">
        <f t="shared" si="3"/>
        <v>0.84332494158698379</v>
      </c>
      <c r="X16">
        <f t="shared" si="3"/>
        <v>0.84348044006887213</v>
      </c>
      <c r="Y16">
        <f t="shared" si="3"/>
        <v>0.84359108541484018</v>
      </c>
      <c r="Z16">
        <f t="shared" si="3"/>
        <v>0.84366983307405941</v>
      </c>
      <c r="AA16">
        <f t="shared" si="3"/>
        <v>0.84372588771153978</v>
      </c>
      <c r="AB16">
        <f t="shared" si="3"/>
        <v>0.84376579340275815</v>
      </c>
      <c r="AC16">
        <f t="shared" si="3"/>
        <v>0.84379420484570489</v>
      </c>
      <c r="AD16">
        <f t="shared" si="3"/>
        <v>0.84381443395586153</v>
      </c>
      <c r="AE16">
        <f t="shared" si="3"/>
        <v>0.84382883778936368</v>
      </c>
      <c r="AF16">
        <f t="shared" si="3"/>
        <v>0.84383909412200464</v>
      </c>
      <c r="AG16">
        <f t="shared" si="3"/>
        <v>0.8438463973547321</v>
      </c>
      <c r="AH16">
        <f t="shared" si="3"/>
        <v>0.84385159784895081</v>
      </c>
    </row>
    <row r="17" spans="4:34" x14ac:dyDescent="0.3">
      <c r="D17" t="s">
        <v>15</v>
      </c>
      <c r="E17">
        <v>300</v>
      </c>
      <c r="F17">
        <f>(E17*$B$15-F15)/($B$14-$B$15*E16)</f>
        <v>152.03851293294466</v>
      </c>
      <c r="G17">
        <f>(F17*$B$15-G15)/($B$14-$B$15*F16)</f>
        <v>104.36818656837826</v>
      </c>
      <c r="H17">
        <f t="shared" ref="H17:AH17" si="4">(G17*$B$15-H15)/($B$14-$B$15*G16)</f>
        <v>81.607397938807864</v>
      </c>
      <c r="I17">
        <f t="shared" si="4"/>
        <v>68.669701853950954</v>
      </c>
      <c r="J17">
        <f t="shared" si="4"/>
        <v>60.523429349995673</v>
      </c>
      <c r="K17">
        <f t="shared" si="4"/>
        <v>55.014075652971442</v>
      </c>
      <c r="L17">
        <f t="shared" si="4"/>
        <v>51.069214061771795</v>
      </c>
      <c r="M17">
        <f t="shared" si="4"/>
        <v>48.099373301043407</v>
      </c>
      <c r="N17">
        <f t="shared" si="4"/>
        <v>45.757681157341239</v>
      </c>
      <c r="O17">
        <f t="shared" si="4"/>
        <v>43.830029181442839</v>
      </c>
      <c r="P17">
        <f t="shared" si="4"/>
        <v>42.179722171397387</v>
      </c>
      <c r="Q17">
        <f t="shared" si="4"/>
        <v>40.717383930849714</v>
      </c>
      <c r="R17">
        <f t="shared" si="4"/>
        <v>39.383589499293784</v>
      </c>
      <c r="S17">
        <f t="shared" si="4"/>
        <v>38.138362972347387</v>
      </c>
      <c r="T17">
        <f t="shared" si="4"/>
        <v>36.954593380879793</v>
      </c>
      <c r="U17">
        <f t="shared" si="4"/>
        <v>35.813791890398427</v>
      </c>
      <c r="V17">
        <f t="shared" si="4"/>
        <v>34.703300953114542</v>
      </c>
      <c r="W17">
        <f t="shared" si="4"/>
        <v>33.614430573086011</v>
      </c>
      <c r="X17">
        <f t="shared" si="4"/>
        <v>32.541200037013361</v>
      </c>
      <c r="Y17">
        <f t="shared" si="4"/>
        <v>31.479481827497189</v>
      </c>
      <c r="Z17">
        <f t="shared" si="4"/>
        <v>30.426416070778657</v>
      </c>
      <c r="AA17">
        <f t="shared" si="4"/>
        <v>29.380008643415124</v>
      </c>
      <c r="AB17">
        <f t="shared" si="4"/>
        <v>28.338854789782697</v>
      </c>
      <c r="AC17">
        <f t="shared" si="4"/>
        <v>27.301948921188647</v>
      </c>
      <c r="AD17">
        <f t="shared" si="4"/>
        <v>26.268553793262814</v>
      </c>
      <c r="AE17">
        <f t="shared" si="4"/>
        <v>25.238110695480277</v>
      </c>
      <c r="AF17">
        <f t="shared" si="4"/>
        <v>24.210178019478391</v>
      </c>
      <c r="AG17">
        <f t="shared" si="4"/>
        <v>23.184389492401461</v>
      </c>
      <c r="AH17">
        <f t="shared" si="4"/>
        <v>22.160426052983272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I21"/>
  <sheetViews>
    <sheetView tabSelected="1" workbookViewId="0">
      <selection activeCell="G12" sqref="G12"/>
    </sheetView>
  </sheetViews>
  <sheetFormatPr defaultRowHeight="14.4" x14ac:dyDescent="0.3"/>
  <sheetData>
    <row r="1" spans="1:35" x14ac:dyDescent="0.3">
      <c r="A1" t="s">
        <v>0</v>
      </c>
      <c r="B1">
        <v>0.1</v>
      </c>
    </row>
    <row r="2" spans="1:35" x14ac:dyDescent="0.3">
      <c r="A2" t="s">
        <v>1</v>
      </c>
      <c r="B2">
        <f>B1/30</f>
        <v>3.3333333333333335E-3</v>
      </c>
    </row>
    <row r="3" spans="1:35" x14ac:dyDescent="0.3">
      <c r="A3" t="s">
        <v>2</v>
      </c>
      <c r="B3">
        <v>0.33</v>
      </c>
      <c r="E3">
        <f>(B7*B6*B2^2)/(2*B8)</f>
        <v>0.4333333333333334</v>
      </c>
    </row>
    <row r="4" spans="1:35" x14ac:dyDescent="0.3">
      <c r="A4" t="s">
        <v>3</v>
      </c>
      <c r="B4">
        <v>200</v>
      </c>
      <c r="C4">
        <v>200.31</v>
      </c>
    </row>
    <row r="6" spans="1:35" x14ac:dyDescent="0.3">
      <c r="A6" t="s">
        <v>4</v>
      </c>
      <c r="B6">
        <v>460</v>
      </c>
    </row>
    <row r="7" spans="1:35" x14ac:dyDescent="0.3">
      <c r="A7" t="s">
        <v>5</v>
      </c>
      <c r="B7">
        <v>7800</v>
      </c>
    </row>
    <row r="8" spans="1:35" x14ac:dyDescent="0.3">
      <c r="A8" t="s">
        <v>6</v>
      </c>
      <c r="B8">
        <v>46</v>
      </c>
      <c r="AI8" s="2"/>
    </row>
    <row r="9" spans="1:35" x14ac:dyDescent="0.3">
      <c r="E9">
        <v>1</v>
      </c>
      <c r="F9">
        <v>2</v>
      </c>
      <c r="G9">
        <v>3</v>
      </c>
      <c r="H9">
        <v>4</v>
      </c>
      <c r="I9">
        <v>5</v>
      </c>
      <c r="J9">
        <v>6</v>
      </c>
      <c r="K9">
        <v>7</v>
      </c>
      <c r="L9">
        <v>8</v>
      </c>
      <c r="M9">
        <v>9</v>
      </c>
      <c r="N9">
        <v>10</v>
      </c>
      <c r="O9">
        <v>11</v>
      </c>
      <c r="P9">
        <v>12</v>
      </c>
      <c r="Q9">
        <v>13</v>
      </c>
      <c r="R9">
        <v>14</v>
      </c>
      <c r="S9">
        <v>15</v>
      </c>
      <c r="T9">
        <v>16</v>
      </c>
      <c r="U9">
        <v>17</v>
      </c>
      <c r="V9">
        <v>18</v>
      </c>
      <c r="W9">
        <v>19</v>
      </c>
      <c r="X9">
        <v>20</v>
      </c>
      <c r="Y9">
        <v>21</v>
      </c>
      <c r="Z9">
        <v>22</v>
      </c>
      <c r="AA9">
        <v>23</v>
      </c>
      <c r="AB9">
        <v>24</v>
      </c>
      <c r="AC9">
        <v>25</v>
      </c>
      <c r="AD9">
        <v>26</v>
      </c>
      <c r="AE9">
        <v>27</v>
      </c>
      <c r="AF9">
        <v>28</v>
      </c>
      <c r="AG9">
        <v>29</v>
      </c>
      <c r="AH9">
        <v>30</v>
      </c>
      <c r="AI9" s="3"/>
    </row>
    <row r="10" spans="1:35" x14ac:dyDescent="0.3">
      <c r="A10" t="s">
        <v>7</v>
      </c>
      <c r="B10">
        <v>300</v>
      </c>
      <c r="D10" t="s">
        <v>0</v>
      </c>
      <c r="E10" s="1">
        <v>0</v>
      </c>
      <c r="F10" s="1">
        <f>E10+$B$2</f>
        <v>3.3333333333333335E-3</v>
      </c>
      <c r="G10" s="1">
        <f t="shared" ref="G10:AH10" si="0">F10+$B$2</f>
        <v>6.6666666666666671E-3</v>
      </c>
      <c r="H10" s="1">
        <f t="shared" si="0"/>
        <v>0.01</v>
      </c>
      <c r="I10" s="1">
        <f t="shared" si="0"/>
        <v>1.3333333333333334E-2</v>
      </c>
      <c r="J10" s="1">
        <f t="shared" si="0"/>
        <v>1.6666666666666666E-2</v>
      </c>
      <c r="K10" s="1">
        <f t="shared" si="0"/>
        <v>0.02</v>
      </c>
      <c r="L10" s="1">
        <f t="shared" si="0"/>
        <v>2.3333333333333334E-2</v>
      </c>
      <c r="M10" s="1">
        <f t="shared" si="0"/>
        <v>2.6666666666666668E-2</v>
      </c>
      <c r="N10" s="1">
        <f t="shared" si="0"/>
        <v>3.0000000000000002E-2</v>
      </c>
      <c r="O10" s="1">
        <f t="shared" si="0"/>
        <v>3.3333333333333333E-2</v>
      </c>
      <c r="P10" s="1">
        <f t="shared" si="0"/>
        <v>3.6666666666666667E-2</v>
      </c>
      <c r="Q10" s="1">
        <f t="shared" si="0"/>
        <v>0.04</v>
      </c>
      <c r="R10" s="1">
        <f t="shared" si="0"/>
        <v>4.3333333333333335E-2</v>
      </c>
      <c r="S10" s="1">
        <f t="shared" si="0"/>
        <v>4.6666666666666669E-2</v>
      </c>
      <c r="T10" s="1">
        <f t="shared" si="0"/>
        <v>0.05</v>
      </c>
      <c r="U10" s="1">
        <f t="shared" si="0"/>
        <v>5.3333333333333337E-2</v>
      </c>
      <c r="V10" s="1">
        <f t="shared" si="0"/>
        <v>5.6666666666666671E-2</v>
      </c>
      <c r="W10" s="1">
        <f t="shared" si="0"/>
        <v>6.0000000000000005E-2</v>
      </c>
      <c r="X10" s="1">
        <f t="shared" si="0"/>
        <v>6.3333333333333339E-2</v>
      </c>
      <c r="Y10" s="1">
        <f t="shared" si="0"/>
        <v>6.6666666666666666E-2</v>
      </c>
      <c r="Z10" s="1">
        <f t="shared" si="0"/>
        <v>6.9999999999999993E-2</v>
      </c>
      <c r="AA10" s="1">
        <f t="shared" si="0"/>
        <v>7.333333333333332E-2</v>
      </c>
      <c r="AB10" s="1">
        <f t="shared" si="0"/>
        <v>7.6666666666666647E-2</v>
      </c>
      <c r="AC10" s="1">
        <f t="shared" si="0"/>
        <v>7.9999999999999974E-2</v>
      </c>
      <c r="AD10" s="1">
        <f t="shared" si="0"/>
        <v>8.3333333333333301E-2</v>
      </c>
      <c r="AE10" s="1">
        <f t="shared" si="0"/>
        <v>8.6666666666666628E-2</v>
      </c>
      <c r="AF10" s="1">
        <f t="shared" si="0"/>
        <v>8.9999999999999955E-2</v>
      </c>
      <c r="AG10" s="1">
        <f t="shared" si="0"/>
        <v>9.3333333333333282E-2</v>
      </c>
      <c r="AH10" s="1">
        <f t="shared" si="0"/>
        <v>9.6666666666666609E-2</v>
      </c>
      <c r="AI10" s="2"/>
    </row>
    <row r="11" spans="1:35" x14ac:dyDescent="0.3">
      <c r="A11" t="s">
        <v>8</v>
      </c>
      <c r="B11">
        <v>100</v>
      </c>
      <c r="D11" t="s">
        <v>3</v>
      </c>
      <c r="E11">
        <f>E12/B8*B2+F11</f>
        <v>297.10811165736129</v>
      </c>
      <c r="F11">
        <v>290.44144499069461</v>
      </c>
      <c r="G11">
        <v>280.87806304416472</v>
      </c>
      <c r="H11">
        <v>271.30507968740403</v>
      </c>
      <c r="I11">
        <v>261.7178248194204</v>
      </c>
      <c r="J11">
        <v>252.11178351148001</v>
      </c>
      <c r="K11">
        <v>242.48264515923228</v>
      </c>
      <c r="L11">
        <v>232.82635046193514</v>
      </c>
      <c r="M11">
        <v>223.13913572493306</v>
      </c>
      <c r="N11">
        <v>213.41757400752141</v>
      </c>
      <c r="O11">
        <v>203.65861266921698</v>
      </c>
      <c r="P11">
        <v>193.85960690307087</v>
      </c>
      <c r="Q11">
        <v>184.0183488847826</v>
      </c>
      <c r="R11">
        <v>174.13309221073314</v>
      </c>
      <c r="S11">
        <v>164.20257134632149</v>
      </c>
      <c r="T11">
        <v>154.22601585778662</v>
      </c>
      <c r="U11">
        <v>144.20315925557568</v>
      </c>
      <c r="V11">
        <v>134.13424233478597</v>
      </c>
      <c r="W11">
        <v>124.02001095769413</v>
      </c>
      <c r="X11">
        <v>113.86170828427935</v>
      </c>
      <c r="Y11">
        <v>103.66106151827996</v>
      </c>
      <c r="Z11">
        <v>93.420263297983865</v>
      </c>
      <c r="AA11">
        <v>83.141947921897099</v>
      </c>
      <c r="AB11">
        <v>72.829162658899008</v>
      </c>
      <c r="AC11">
        <v>62.485334449694307</v>
      </c>
      <c r="AD11">
        <v>52.114232360542367</v>
      </c>
      <c r="AE11">
        <v>41.719926200628215</v>
      </c>
      <c r="AF11">
        <v>31.306741760314949</v>
      </c>
      <c r="AG11">
        <v>20.87921316821711</v>
      </c>
      <c r="AH11">
        <v>10.442032899948545</v>
      </c>
    </row>
    <row r="12" spans="1:35" x14ac:dyDescent="0.3">
      <c r="D12" t="s">
        <v>9</v>
      </c>
      <c r="E12">
        <v>92000</v>
      </c>
      <c r="F12">
        <f>(E11-F11)*$B$8/$B$2</f>
        <v>92000.000000000262</v>
      </c>
      <c r="G12">
        <f t="shared" ref="G12:AH12" si="1">(F11-G11)*$B$8/$B$2</f>
        <v>131974.67086211243</v>
      </c>
      <c r="H12">
        <f t="shared" si="1"/>
        <v>132107.17032329747</v>
      </c>
      <c r="I12">
        <f t="shared" si="1"/>
        <v>132304.11717817411</v>
      </c>
      <c r="J12">
        <f t="shared" si="1"/>
        <v>132563.37004957732</v>
      </c>
      <c r="K12">
        <f t="shared" si="1"/>
        <v>132882.10926101875</v>
      </c>
      <c r="L12">
        <f t="shared" si="1"/>
        <v>133256.86682270054</v>
      </c>
      <c r="M12">
        <f t="shared" si="1"/>
        <v>133683.56337062869</v>
      </c>
      <c r="N12">
        <f t="shared" si="1"/>
        <v>134157.55170028072</v>
      </c>
      <c r="O12">
        <f t="shared" si="1"/>
        <v>134673.66646860115</v>
      </c>
      <c r="P12">
        <f t="shared" si="1"/>
        <v>135226.2795728163</v>
      </c>
      <c r="Q12">
        <f t="shared" si="1"/>
        <v>135809.36065237815</v>
      </c>
      <c r="R12">
        <f t="shared" si="1"/>
        <v>136416.54210188251</v>
      </c>
      <c r="S12">
        <f t="shared" si="1"/>
        <v>137041.18792888074</v>
      </c>
      <c r="T12">
        <f t="shared" si="1"/>
        <v>137676.4657417812</v>
      </c>
      <c r="U12">
        <f t="shared" si="1"/>
        <v>138315.42111051091</v>
      </c>
      <c r="V12">
        <f t="shared" si="1"/>
        <v>138951.05350689811</v>
      </c>
      <c r="W12">
        <f t="shared" si="1"/>
        <v>139576.39300386739</v>
      </c>
      <c r="X12">
        <f t="shared" si="1"/>
        <v>140184.57689312397</v>
      </c>
      <c r="Y12">
        <f t="shared" si="1"/>
        <v>140768.92537079143</v>
      </c>
      <c r="Z12">
        <f t="shared" si="1"/>
        <v>141323.01544008616</v>
      </c>
      <c r="AA12">
        <f t="shared" si="1"/>
        <v>141840.75218999735</v>
      </c>
      <c r="AB12">
        <f t="shared" si="1"/>
        <v>142316.43662937364</v>
      </c>
      <c r="AC12">
        <f t="shared" si="1"/>
        <v>142744.82928702488</v>
      </c>
      <c r="AD12">
        <f t="shared" si="1"/>
        <v>143121.20883029676</v>
      </c>
      <c r="AE12">
        <f t="shared" si="1"/>
        <v>143441.42500681529</v>
      </c>
      <c r="AF12">
        <f t="shared" si="1"/>
        <v>143701.94527632307</v>
      </c>
      <c r="AG12">
        <f t="shared" si="1"/>
        <v>143899.89457095019</v>
      </c>
      <c r="AH12">
        <f t="shared" si="1"/>
        <v>144033.08770210619</v>
      </c>
      <c r="AI12" s="4"/>
    </row>
    <row r="13" spans="1:35" x14ac:dyDescent="0.3">
      <c r="A13" t="s">
        <v>11</v>
      </c>
      <c r="B13">
        <f>B8/B2^2</f>
        <v>4139999.9999999991</v>
      </c>
      <c r="D13" t="s">
        <v>16</v>
      </c>
      <c r="F13">
        <f>F16*G13+F17</f>
        <v>290.43961461744948</v>
      </c>
      <c r="G13">
        <f t="shared" ref="G13:AF13" si="2">G16*H13+G17</f>
        <v>280.87442219405318</v>
      </c>
      <c r="H13">
        <f t="shared" si="2"/>
        <v>271.29966794208116</v>
      </c>
      <c r="I13">
        <f t="shared" si="2"/>
        <v>261.71070102562453</v>
      </c>
      <c r="J13">
        <f t="shared" si="2"/>
        <v>252.10302515576458</v>
      </c>
      <c r="K13">
        <f t="shared" si="2"/>
        <v>242.47234754362151</v>
      </c>
      <c r="L13">
        <f t="shared" si="2"/>
        <v>232.8146256884603</v>
      </c>
      <c r="M13">
        <f>M16*N13+M17</f>
        <v>223.12611149892069</v>
      </c>
      <c r="N13">
        <f t="shared" si="2"/>
        <v>213.40339227136863</v>
      </c>
      <c r="O13">
        <f t="shared" si="2"/>
        <v>203.64342808018293</v>
      </c>
      <c r="P13">
        <f t="shared" si="2"/>
        <v>193.843585170322</v>
      </c>
      <c r="Q13">
        <f t="shared" si="2"/>
        <v>184.00166498253489</v>
      </c>
      <c r="R13">
        <f t="shared" si="2"/>
        <v>174.11592848581441</v>
      </c>
      <c r="S13">
        <f t="shared" si="2"/>
        <v>164.18511553981227</v>
      </c>
      <c r="T13">
        <f t="shared" si="2"/>
        <v>154.20845906156359</v>
      </c>
      <c r="U13">
        <f t="shared" si="2"/>
        <v>144.18569382555745</v>
      </c>
      <c r="V13">
        <f t="shared" si="2"/>
        <v>134.11705978344276</v>
      </c>
      <c r="W13">
        <f t="shared" si="2"/>
        <v>124.00329984891158</v>
      </c>
      <c r="X13">
        <f t="shared" si="2"/>
        <v>113.8456521539414</v>
      </c>
      <c r="Y13">
        <f t="shared" si="2"/>
        <v>103.64583684394226</v>
      </c>
      <c r="Z13">
        <f t="shared" si="2"/>
        <v>93.406037540732996</v>
      </c>
      <c r="AA13">
        <f t="shared" si="2"/>
        <v>83.128877662925433</v>
      </c>
      <c r="AB13">
        <f t="shared" si="2"/>
        <v>72.817391852464908</v>
      </c>
      <c r="AC13">
        <f t="shared" si="2"/>
        <v>62.474992812985484</v>
      </c>
      <c r="AD13">
        <f t="shared" si="2"/>
        <v>52.105433919523279</v>
      </c>
      <c r="AE13">
        <f t="shared" si="2"/>
        <v>41.712768009243241</v>
      </c>
      <c r="AF13">
        <f t="shared" si="2"/>
        <v>31.301302808457205</v>
      </c>
      <c r="AG13">
        <f>AG16*AH13+AG17</f>
        <v>20.875553491681138</v>
      </c>
      <c r="AH13">
        <f>AH16*AI13+AH17</f>
        <v>10.440192903194442</v>
      </c>
    </row>
    <row r="14" spans="1:35" x14ac:dyDescent="0.3">
      <c r="A14" t="s">
        <v>12</v>
      </c>
      <c r="B14">
        <f>(2*B8)/(B2^2)+(B7*B6)/B3</f>
        <v>19152727.27272727</v>
      </c>
    </row>
    <row r="15" spans="1:35" x14ac:dyDescent="0.3">
      <c r="A15" t="s">
        <v>13</v>
      </c>
      <c r="B15">
        <f>B8/B2^2</f>
        <v>4139999.9999999991</v>
      </c>
      <c r="D15" t="s">
        <v>14</v>
      </c>
      <c r="E15">
        <f t="shared" ref="E15:AH15" si="3">-$B$7*$B$6*E11/$B$3</f>
        <v>-3230375468.5654917</v>
      </c>
      <c r="F15">
        <f t="shared" si="3"/>
        <v>-3157890620.0806432</v>
      </c>
      <c r="G15">
        <f t="shared" si="3"/>
        <v>-3053910576.3710999</v>
      </c>
      <c r="H15">
        <f t="shared" si="3"/>
        <v>-2949826139.1466837</v>
      </c>
      <c r="I15">
        <f t="shared" si="3"/>
        <v>-2845586531.6729708</v>
      </c>
      <c r="J15">
        <f t="shared" si="3"/>
        <v>-2741142664.3611827</v>
      </c>
      <c r="K15">
        <f t="shared" si="3"/>
        <v>-2636447669.1858344</v>
      </c>
      <c r="L15">
        <f t="shared" si="3"/>
        <v>-2531457410.4770398</v>
      </c>
      <c r="M15">
        <f t="shared" si="3"/>
        <v>-2426130966.609272</v>
      </c>
      <c r="N15">
        <f t="shared" si="3"/>
        <v>-2320431077.3908691</v>
      </c>
      <c r="O15">
        <f t="shared" si="3"/>
        <v>-2214324552.2943954</v>
      </c>
      <c r="P15">
        <f t="shared" si="3"/>
        <v>-2107782635.0552068</v>
      </c>
      <c r="Q15">
        <f t="shared" si="3"/>
        <v>-2000781320.6018178</v>
      </c>
      <c r="R15">
        <f t="shared" si="3"/>
        <v>-1893301620.7639711</v>
      </c>
      <c r="S15">
        <f t="shared" si="3"/>
        <v>-1785329775.7290955</v>
      </c>
      <c r="T15">
        <f t="shared" si="3"/>
        <v>-1676857408.7810252</v>
      </c>
      <c r="U15">
        <f t="shared" si="3"/>
        <v>-1567881622.4515319</v>
      </c>
      <c r="V15">
        <f t="shared" si="3"/>
        <v>-1458405034.8400364</v>
      </c>
      <c r="W15">
        <f t="shared" si="3"/>
        <v>-1348435755.5036561</v>
      </c>
      <c r="X15">
        <f t="shared" si="3"/>
        <v>-1237987300.9818008</v>
      </c>
      <c r="Y15">
        <f t="shared" si="3"/>
        <v>-1127078450.6896622</v>
      </c>
      <c r="Z15">
        <f t="shared" si="3"/>
        <v>-1015733044.5853518</v>
      </c>
      <c r="AA15">
        <f t="shared" si="3"/>
        <v>-903979724.67808127</v>
      </c>
      <c r="AB15">
        <f t="shared" si="3"/>
        <v>-791851623.09130192</v>
      </c>
      <c r="AC15">
        <f t="shared" si="3"/>
        <v>-679386000.01667631</v>
      </c>
      <c r="AD15">
        <f t="shared" si="3"/>
        <v>-566623835.48371518</v>
      </c>
      <c r="AE15">
        <f t="shared" si="3"/>
        <v>-453609379.41773945</v>
      </c>
      <c r="AF15">
        <f t="shared" si="3"/>
        <v>-340389664.95760614</v>
      </c>
      <c r="AG15">
        <f t="shared" si="3"/>
        <v>-227013990.44716054</v>
      </c>
      <c r="AH15">
        <f t="shared" si="3"/>
        <v>-113533375.89398599</v>
      </c>
    </row>
    <row r="16" spans="1:35" x14ac:dyDescent="0.3">
      <c r="D16" t="s">
        <v>10</v>
      </c>
      <c r="E16">
        <v>0</v>
      </c>
      <c r="F16">
        <f>$B$13/($B$14-$B$15*E16)</f>
        <v>0.21615720524017465</v>
      </c>
      <c r="G16">
        <f t="shared" ref="G16:AH16" si="4">$B$13/($B$14-$B$15*F16)</f>
        <v>0.22675194911058544</v>
      </c>
      <c r="H16">
        <f t="shared" si="4"/>
        <v>0.22729800502435318</v>
      </c>
      <c r="I16">
        <f t="shared" si="4"/>
        <v>0.2273262201682604</v>
      </c>
      <c r="J16">
        <f t="shared" si="4"/>
        <v>0.22732767825754016</v>
      </c>
      <c r="K16">
        <f t="shared" si="4"/>
        <v>0.22732775360851817</v>
      </c>
      <c r="L16">
        <f t="shared" si="4"/>
        <v>0.22732775750249912</v>
      </c>
      <c r="M16">
        <f t="shared" si="4"/>
        <v>0.22732775770373193</v>
      </c>
      <c r="N16">
        <f t="shared" si="4"/>
        <v>0.22732775771413119</v>
      </c>
      <c r="O16">
        <f t="shared" si="4"/>
        <v>0.22732775771466859</v>
      </c>
      <c r="P16">
        <f t="shared" si="4"/>
        <v>0.22732775771469638</v>
      </c>
      <c r="Q16">
        <f t="shared" si="4"/>
        <v>0.22732775771469782</v>
      </c>
      <c r="R16">
        <f t="shared" si="4"/>
        <v>0.2273277577146979</v>
      </c>
      <c r="S16">
        <f t="shared" si="4"/>
        <v>0.2273277577146979</v>
      </c>
      <c r="T16">
        <f t="shared" si="4"/>
        <v>0.2273277577146979</v>
      </c>
      <c r="U16">
        <f t="shared" si="4"/>
        <v>0.2273277577146979</v>
      </c>
      <c r="V16">
        <f t="shared" si="4"/>
        <v>0.2273277577146979</v>
      </c>
      <c r="W16">
        <f t="shared" si="4"/>
        <v>0.2273277577146979</v>
      </c>
      <c r="X16">
        <f t="shared" si="4"/>
        <v>0.2273277577146979</v>
      </c>
      <c r="Y16">
        <f t="shared" si="4"/>
        <v>0.2273277577146979</v>
      </c>
      <c r="Z16">
        <f t="shared" si="4"/>
        <v>0.2273277577146979</v>
      </c>
      <c r="AA16">
        <f t="shared" si="4"/>
        <v>0.2273277577146979</v>
      </c>
      <c r="AB16">
        <f t="shared" si="4"/>
        <v>0.2273277577146979</v>
      </c>
      <c r="AC16">
        <f t="shared" si="4"/>
        <v>0.2273277577146979</v>
      </c>
      <c r="AD16">
        <f t="shared" si="4"/>
        <v>0.2273277577146979</v>
      </c>
      <c r="AE16">
        <f t="shared" si="4"/>
        <v>0.2273277577146979</v>
      </c>
      <c r="AF16">
        <f t="shared" si="4"/>
        <v>0.2273277577146979</v>
      </c>
      <c r="AG16">
        <f t="shared" si="4"/>
        <v>0.2273277577146979</v>
      </c>
      <c r="AH16">
        <f t="shared" si="4"/>
        <v>0.2273277577146979</v>
      </c>
    </row>
    <row r="17" spans="1:34" x14ac:dyDescent="0.3">
      <c r="D17" t="s">
        <v>15</v>
      </c>
      <c r="E17">
        <v>300</v>
      </c>
      <c r="F17">
        <f>(E17*$B$15-F15)/($B$14-$B$15*E16)</f>
        <v>229.72658449253407</v>
      </c>
      <c r="G17">
        <f>(F17*$B$15-G15)/($B$14-$B$15*F16)</f>
        <v>219.3566936951317</v>
      </c>
      <c r="H17">
        <f t="shared" ref="H17:AH17" si="5">(G17*$B$15-H15)/($B$14-$B$15*G16)</f>
        <v>211.81334770543174</v>
      </c>
      <c r="I17">
        <f t="shared" si="5"/>
        <v>204.40107322398069</v>
      </c>
      <c r="J17">
        <f t="shared" si="5"/>
        <v>196.98234934701773</v>
      </c>
      <c r="K17">
        <f t="shared" si="5"/>
        <v>189.54712167865583</v>
      </c>
      <c r="L17">
        <f t="shared" si="5"/>
        <v>182.09186712115809</v>
      </c>
      <c r="M17">
        <f t="shared" si="5"/>
        <v>174.61359684750053</v>
      </c>
      <c r="N17">
        <f t="shared" si="5"/>
        <v>167.1095883926817</v>
      </c>
      <c r="O17">
        <f t="shared" si="5"/>
        <v>159.57740051604125</v>
      </c>
      <c r="P17">
        <f t="shared" si="5"/>
        <v>152.01489925407159</v>
      </c>
      <c r="Q17">
        <f t="shared" si="5"/>
        <v>144.42028137744202</v>
      </c>
      <c r="R17">
        <f t="shared" si="5"/>
        <v>136.79209432002028</v>
      </c>
      <c r="S17">
        <f t="shared" si="5"/>
        <v>129.12925232070822</v>
      </c>
      <c r="T17">
        <f t="shared" si="5"/>
        <v>121.43104858966164</v>
      </c>
      <c r="U17">
        <f t="shared" si="5"/>
        <v>113.69716335369931</v>
      </c>
      <c r="V17">
        <f t="shared" si="5"/>
        <v>105.92766767956635</v>
      </c>
      <c r="W17">
        <f t="shared" si="5"/>
        <v>98.123023019188622</v>
      </c>
      <c r="X17">
        <f t="shared" si="5"/>
        <v>90.284076467744583</v>
      </c>
      <c r="Y17">
        <f t="shared" si="5"/>
        <v>82.412051772792537</v>
      </c>
      <c r="Z17">
        <f t="shared" si="5"/>
        <v>74.508536180280714</v>
      </c>
      <c r="AA17">
        <f t="shared" si="5"/>
        <v>66.575463250472069</v>
      </c>
      <c r="AB17">
        <f t="shared" si="5"/>
        <v>58.615091823047045</v>
      </c>
      <c r="AC17">
        <f t="shared" si="5"/>
        <v>50.629981355308892</v>
      </c>
      <c r="AD17">
        <f t="shared" si="5"/>
        <v>42.622963899908626</v>
      </c>
      <c r="AE17">
        <f t="shared" si="5"/>
        <v>34.59711302824789</v>
      </c>
      <c r="AF17">
        <f t="shared" si="5"/>
        <v>26.555710042140099</v>
      </c>
      <c r="AG17">
        <f t="shared" si="5"/>
        <v>18.502207848889043</v>
      </c>
      <c r="AH17">
        <f t="shared" si="5"/>
        <v>10.440192903194442</v>
      </c>
    </row>
    <row r="21" spans="1:34" x14ac:dyDescent="0.3">
      <c r="A21" t="s">
        <v>9</v>
      </c>
      <c r="B21">
        <v>92000</v>
      </c>
    </row>
  </sheetData>
  <conditionalFormatting sqref="AI10 D10">
    <cfRule type="colorScale" priority="2">
      <colorScale>
        <cfvo type="min"/>
        <cfvo type="percentile" val="50"/>
        <cfvo type="max"/>
        <color rgb="FF5A8AC6"/>
        <color rgb="FFFFEB84"/>
        <color rgb="FFF8696B"/>
      </colorScale>
    </cfRule>
  </conditionalFormatting>
  <conditionalFormatting sqref="E11:AH11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Лист1</vt:lpstr>
      <vt:lpstr>Лист2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tyu Dasha</dc:creator>
  <cp:lastModifiedBy>tyu Dasha</cp:lastModifiedBy>
  <dcterms:created xsi:type="dcterms:W3CDTF">2021-02-19T10:02:29Z</dcterms:created>
  <dcterms:modified xsi:type="dcterms:W3CDTF">2021-03-18T15:23:33Z</dcterms:modified>
</cp:coreProperties>
</file>