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dasha\Desktop\учеба\мсс\"/>
    </mc:Choice>
  </mc:AlternateContent>
  <bookViews>
    <workbookView xWindow="0" yWindow="0" windowWidth="13212" windowHeight="5400" activeTab="1"/>
  </bookViews>
  <sheets>
    <sheet name="ГУ 1ого рода" sheetId="1" r:id="rId1"/>
    <sheet name="ГУ 2ого рода " sheetId="2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5" i="2" l="1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AF14" i="2"/>
  <c r="B2" i="2"/>
  <c r="AD14" i="2" s="1"/>
  <c r="B13" i="2" l="1"/>
  <c r="E11" i="2"/>
  <c r="F14" i="2" s="1"/>
  <c r="H14" i="2"/>
  <c r="O14" i="2"/>
  <c r="S14" i="2"/>
  <c r="K14" i="2"/>
  <c r="W14" i="2"/>
  <c r="AE14" i="2"/>
  <c r="X14" i="2"/>
  <c r="P14" i="2"/>
  <c r="G14" i="2"/>
  <c r="AA14" i="2"/>
  <c r="I14" i="2"/>
  <c r="Q14" i="2"/>
  <c r="Y14" i="2"/>
  <c r="AG14" i="2"/>
  <c r="F10" i="2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J14" i="2"/>
  <c r="R14" i="2"/>
  <c r="Z14" i="2"/>
  <c r="AH14" i="2"/>
  <c r="L14" i="2"/>
  <c r="T14" i="2"/>
  <c r="AB14" i="2"/>
  <c r="B14" i="2"/>
  <c r="M14" i="2"/>
  <c r="U14" i="2"/>
  <c r="AC14" i="2"/>
  <c r="B12" i="2"/>
  <c r="N14" i="2"/>
  <c r="V14" i="2"/>
  <c r="E17" i="2" l="1"/>
  <c r="F17" i="2" s="1"/>
  <c r="E15" i="2"/>
  <c r="F16" i="2"/>
  <c r="G16" i="2" s="1"/>
  <c r="G17" i="2" l="1"/>
  <c r="H17" i="2" s="1"/>
  <c r="H16" i="2"/>
  <c r="I17" i="2" l="1"/>
  <c r="I16" i="2"/>
  <c r="J17" i="2" l="1"/>
  <c r="J16" i="2"/>
  <c r="K16" i="2" l="1"/>
  <c r="K17" i="2"/>
  <c r="L17" i="2" l="1"/>
  <c r="L16" i="2"/>
  <c r="M16" i="2" l="1"/>
  <c r="M17" i="2"/>
  <c r="N17" i="2" l="1"/>
  <c r="O17" i="2" s="1"/>
  <c r="N16" i="2"/>
  <c r="O16" i="2" l="1"/>
  <c r="P16" i="2" l="1"/>
  <c r="P17" i="2"/>
  <c r="Q16" i="2" l="1"/>
  <c r="Q17" i="2"/>
  <c r="R17" i="2" l="1"/>
  <c r="R16" i="2"/>
  <c r="S16" i="2" l="1"/>
  <c r="S17" i="2"/>
  <c r="T17" i="2" l="1"/>
  <c r="T16" i="2"/>
  <c r="U16" i="2" l="1"/>
  <c r="U17" i="2"/>
  <c r="V17" i="2" l="1"/>
  <c r="V16" i="2"/>
  <c r="W16" i="2" l="1"/>
  <c r="W17" i="2"/>
  <c r="X17" i="2" l="1"/>
  <c r="X16" i="2"/>
  <c r="Y16" i="2" l="1"/>
  <c r="Y17" i="2"/>
  <c r="Z17" i="2" l="1"/>
  <c r="Z16" i="2"/>
  <c r="AA16" i="2" l="1"/>
  <c r="AA17" i="2"/>
  <c r="AB17" i="2" l="1"/>
  <c r="AB16" i="2"/>
  <c r="AC16" i="2" l="1"/>
  <c r="AC17" i="2"/>
  <c r="AD17" i="2" l="1"/>
  <c r="AD16" i="2"/>
  <c r="AE16" i="2" l="1"/>
  <c r="AE17" i="2"/>
  <c r="AF17" i="2" s="1"/>
  <c r="AF16" i="2" l="1"/>
  <c r="AG16" i="2" l="1"/>
  <c r="AG17" i="2"/>
  <c r="AH17" i="2" l="1"/>
  <c r="AH16" i="2"/>
  <c r="AH13" i="2" l="1"/>
  <c r="AG13" i="2" s="1"/>
  <c r="AF13" i="2" s="1"/>
  <c r="AE13" i="2" s="1"/>
  <c r="AD13" i="2" s="1"/>
  <c r="AC13" i="2" s="1"/>
  <c r="AB13" i="2" s="1"/>
  <c r="AA13" i="2" s="1"/>
  <c r="Z13" i="2" s="1"/>
  <c r="Y13" i="2" s="1"/>
  <c r="X13" i="2" s="1"/>
  <c r="W13" i="2" s="1"/>
  <c r="V13" i="2" s="1"/>
  <c r="U13" i="2" s="1"/>
  <c r="T13" i="2" s="1"/>
  <c r="S13" i="2" s="1"/>
  <c r="R13" i="2" s="1"/>
  <c r="Q13" i="2" s="1"/>
  <c r="P13" i="2" s="1"/>
  <c r="O13" i="2" s="1"/>
  <c r="N13" i="2" s="1"/>
  <c r="M13" i="2" s="1"/>
  <c r="L13" i="2" s="1"/>
  <c r="K13" i="2" s="1"/>
  <c r="J13" i="2" s="1"/>
  <c r="I13" i="2" s="1"/>
  <c r="H13" i="2" s="1"/>
  <c r="G13" i="2" s="1"/>
  <c r="F13" i="2" s="1"/>
  <c r="AI16" i="2"/>
  <c r="AI17" i="2"/>
  <c r="E3" i="1" l="1"/>
  <c r="B14" i="1"/>
  <c r="AI11" i="1" l="1"/>
  <c r="E11" i="1"/>
  <c r="B2" i="1"/>
  <c r="B13" i="1" l="1"/>
  <c r="B15" i="1"/>
  <c r="F10" i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F16" i="1" l="1"/>
  <c r="E15" i="1"/>
  <c r="F15" i="1"/>
  <c r="F17" i="1" s="1"/>
  <c r="AH15" i="1"/>
  <c r="N15" i="1"/>
  <c r="V15" i="1"/>
  <c r="AD15" i="1"/>
  <c r="G15" i="1"/>
  <c r="W15" i="1"/>
  <c r="AE15" i="1"/>
  <c r="H15" i="1"/>
  <c r="P15" i="1"/>
  <c r="X15" i="1"/>
  <c r="AF15" i="1"/>
  <c r="I15" i="1"/>
  <c r="Q15" i="1"/>
  <c r="Y15" i="1"/>
  <c r="AG15" i="1"/>
  <c r="J15" i="1"/>
  <c r="R15" i="1"/>
  <c r="K15" i="1"/>
  <c r="L15" i="1"/>
  <c r="M15" i="1"/>
  <c r="O15" i="1"/>
  <c r="Z15" i="1"/>
  <c r="S15" i="1"/>
  <c r="T15" i="1"/>
  <c r="AB15" i="1"/>
  <c r="U15" i="1"/>
  <c r="AA15" i="1"/>
  <c r="AC15" i="1"/>
  <c r="G16" i="1" l="1"/>
  <c r="H16" i="1" s="1"/>
  <c r="I16" i="1" s="1"/>
  <c r="J16" i="1" s="1"/>
  <c r="K16" i="1" s="1"/>
  <c r="L16" i="1" s="1"/>
  <c r="M16" i="1" s="1"/>
  <c r="N16" i="1" s="1"/>
  <c r="O16" i="1" s="1"/>
  <c r="P16" i="1" s="1"/>
  <c r="Q16" i="1" s="1"/>
  <c r="R16" i="1" s="1"/>
  <c r="S16" i="1" s="1"/>
  <c r="T16" i="1" s="1"/>
  <c r="U16" i="1" s="1"/>
  <c r="V16" i="1" s="1"/>
  <c r="W16" i="1" s="1"/>
  <c r="X16" i="1" s="1"/>
  <c r="Y16" i="1" s="1"/>
  <c r="Z16" i="1" s="1"/>
  <c r="AA16" i="1" s="1"/>
  <c r="AB16" i="1" s="1"/>
  <c r="AC16" i="1" s="1"/>
  <c r="AD16" i="1" s="1"/>
  <c r="AE16" i="1" s="1"/>
  <c r="AF16" i="1" s="1"/>
  <c r="AG16" i="1" s="1"/>
  <c r="AH16" i="1" s="1"/>
  <c r="G17" i="1"/>
  <c r="H17" i="1" s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l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H13" i="1" s="1"/>
  <c r="AG13" i="1" s="1"/>
  <c r="AF13" i="1" s="1"/>
  <c r="AE13" i="1" s="1"/>
  <c r="AD13" i="1" s="1"/>
  <c r="AC13" i="1" s="1"/>
  <c r="AB13" i="1" s="1"/>
  <c r="AA13" i="1" s="1"/>
  <c r="Z13" i="1" s="1"/>
  <c r="Y13" i="1" s="1"/>
  <c r="X13" i="1" s="1"/>
  <c r="W13" i="1" s="1"/>
  <c r="V13" i="1" s="1"/>
  <c r="U13" i="1" s="1"/>
  <c r="T13" i="1" s="1"/>
  <c r="S13" i="1" s="1"/>
  <c r="R13" i="1" s="1"/>
  <c r="Q13" i="1" s="1"/>
  <c r="P13" i="1" s="1"/>
  <c r="O13" i="1" s="1"/>
  <c r="N13" i="1" s="1"/>
  <c r="M13" i="1" s="1"/>
  <c r="L13" i="1" s="1"/>
  <c r="K13" i="1" s="1"/>
  <c r="J13" i="1" s="1"/>
  <c r="I13" i="1" s="1"/>
  <c r="H13" i="1" s="1"/>
  <c r="G13" i="1" s="1"/>
  <c r="F13" i="1" s="1"/>
</calcChain>
</file>

<file path=xl/sharedStrings.xml><?xml version="1.0" encoding="utf-8"?>
<sst xmlns="http://schemas.openxmlformats.org/spreadsheetml/2006/main" count="39" uniqueCount="23">
  <si>
    <t>L</t>
  </si>
  <si>
    <t>dx</t>
  </si>
  <si>
    <t>dt</t>
  </si>
  <si>
    <t>t</t>
  </si>
  <si>
    <t>Cp</t>
  </si>
  <si>
    <t>r0</t>
  </si>
  <si>
    <t>lamda</t>
  </si>
  <si>
    <t>tstart</t>
  </si>
  <si>
    <t>tend</t>
  </si>
  <si>
    <t>q</t>
  </si>
  <si>
    <t>alfa</t>
  </si>
  <si>
    <t>A</t>
  </si>
  <si>
    <t>B</t>
  </si>
  <si>
    <t>C</t>
  </si>
  <si>
    <t>F</t>
  </si>
  <si>
    <t>betta</t>
  </si>
  <si>
    <t>titer</t>
  </si>
  <si>
    <t>T_iter</t>
  </si>
  <si>
    <t>Alpha</t>
  </si>
  <si>
    <t>Betta</t>
  </si>
  <si>
    <t>ro</t>
  </si>
  <si>
    <t>T</t>
  </si>
  <si>
    <t>q_start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</si>
</sst>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_ ;\-0.000\ 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0" fontId="0" fillId="0" borderId="1" xfId="0" applyBorder="1"/>
    <xf numFmtId="1" fontId="0" fillId="0" borderId="0" xfId="0" applyNumberFormat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Граничное</a:t>
            </a:r>
            <a:r>
              <a:rPr lang="ru-RU" baseline="0"/>
              <a:t> условие первого рода в неявном виде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'ГУ 1ого рода'!$E$10:$AI$10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1ого рода'!$E$11:$AI$11</c:f>
              <c:numCache>
                <c:formatCode>General</c:formatCode>
                <c:ptCount val="31"/>
                <c:pt idx="0">
                  <c:v>300</c:v>
                </c:pt>
                <c:pt idx="1">
                  <c:v>293.16633136757514</c:v>
                </c:pt>
                <c:pt idx="2">
                  <c:v>286.33449246099906</c:v>
                </c:pt>
                <c:pt idx="3">
                  <c:v>279.50629295850217</c:v>
                </c:pt>
                <c:pt idx="4">
                  <c:v>272.68350266275775</c:v>
                </c:pt>
                <c:pt idx="5">
                  <c:v>265.86783210989233</c:v>
                </c:pt>
                <c:pt idx="6">
                  <c:v>259.06091382792704</c:v>
                </c:pt>
                <c:pt idx="7">
                  <c:v>252.26428445001025</c:v>
                </c:pt>
                <c:pt idx="8">
                  <c:v>245.47936787843298</c:v>
                </c:pt>
                <c:pt idx="9">
                  <c:v>238.7074596838988</c:v>
                </c:pt>
                <c:pt idx="10">
                  <c:v>231.94971291098005</c:v>
                </c:pt>
                <c:pt idx="11">
                  <c:v>225.20712544527885</c:v>
                </c:pt>
                <c:pt idx="12">
                  <c:v>218.48052908069405</c:v>
                </c:pt>
                <c:pt idx="13">
                  <c:v>211.77058040656175</c:v>
                </c:pt>
                <c:pt idx="14">
                  <c:v>205.07775361449211</c:v>
                </c:pt>
                <c:pt idx="15">
                  <c:v>198.40233530368783</c:v>
                </c:pt>
                <c:pt idx="16">
                  <c:v>191.74442134162911</c:v>
                </c:pt>
                <c:pt idx="17">
                  <c:v>185.10391581448815</c:v>
                </c:pt>
                <c:pt idx="18">
                  <c:v>178.48053207874017</c:v>
                </c:pt>
                <c:pt idx="19">
                  <c:v>171.87379590241568</c:v>
                </c:pt>
                <c:pt idx="20">
                  <c:v>165.28305066154584</c:v>
                </c:pt>
                <c:pt idx="21">
                  <c:v>158.70746453483932</c:v>
                </c:pt>
                <c:pt idx="22">
                  <c:v>152.14603961773884</c:v>
                </c:pt>
                <c:pt idx="23">
                  <c:v>145.59762285598276</c:v>
                </c:pt>
                <c:pt idx="24">
                  <c:v>139.06091867886758</c:v>
                </c:pt>
                <c:pt idx="25">
                  <c:v>132.53450319379147</c:v>
                </c:pt>
                <c:pt idx="26">
                  <c:v>126.01683978656121</c:v>
                </c:pt>
                <c:pt idx="27">
                  <c:v>119.5062959565482</c:v>
                </c:pt>
                <c:pt idx="28">
                  <c:v>113.00116120225869</c:v>
                </c:pt>
                <c:pt idx="29">
                  <c:v>106.49966576137879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98-4AF9-97FF-93DAFFF6C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019407"/>
        <c:axId val="1451021071"/>
      </c:scatterChart>
      <c:valAx>
        <c:axId val="1451019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51021071"/>
        <c:crosses val="autoZero"/>
        <c:crossBetween val="midCat"/>
      </c:valAx>
      <c:valAx>
        <c:axId val="145102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5101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Граничное условие 2ого рода в неявном виде </a:t>
            </a:r>
          </a:p>
        </c:rich>
      </c:tx>
      <c:layout>
        <c:manualLayout>
          <c:xMode val="edge"/>
          <c:yMode val="edge"/>
          <c:x val="0.1009790026246719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'ГУ 2ого рода '!$E$10:$AI$10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2ого рода '!$E$11:$AI$11</c:f>
              <c:numCache>
                <c:formatCode>General</c:formatCode>
                <c:ptCount val="31"/>
                <c:pt idx="0">
                  <c:v>287.34140353796352</c:v>
                </c:pt>
                <c:pt idx="1">
                  <c:v>280.67473687129683</c:v>
                </c:pt>
                <c:pt idx="2">
                  <c:v>274.11027507303794</c:v>
                </c:pt>
                <c:pt idx="3">
                  <c:v>267.57646293011447</c:v>
                </c:pt>
                <c:pt idx="4">
                  <c:v>261.07297613342064</c:v>
                </c:pt>
                <c:pt idx="5">
                  <c:v>254.59941634770018</c:v>
                </c:pt>
                <c:pt idx="6">
                  <c:v>248.15531218434782</c:v>
                </c:pt>
                <c:pt idx="7">
                  <c:v>241.74012035259926</c:v>
                </c:pt>
                <c:pt idx="8">
                  <c:v>235.35322698628741</c:v>
                </c:pt>
                <c:pt idx="9">
                  <c:v>228.99394914291304</c:v>
                </c:pt>
                <c:pt idx="10">
                  <c:v>222.66153647135545</c:v>
                </c:pt>
                <c:pt idx="11">
                  <c:v>216.35517304413833</c:v>
                </c:pt>
                <c:pt idx="12">
                  <c:v>210.07397934976166</c:v>
                </c:pt>
                <c:pt idx="13">
                  <c:v>203.81701444022201</c:v>
                </c:pt>
                <c:pt idx="14">
                  <c:v>197.58327822846385</c:v>
                </c:pt>
                <c:pt idx="15">
                  <c:v>191.37171393013944</c:v>
                </c:pt>
                <c:pt idx="16">
                  <c:v>185.18121064370422</c:v>
                </c:pt>
                <c:pt idx="17">
                  <c:v>179.01060606253736</c:v>
                </c:pt>
                <c:pt idx="18">
                  <c:v>172.8586893124575</c:v>
                </c:pt>
                <c:pt idx="19">
                  <c:v>166.72420390769815</c:v>
                </c:pt>
                <c:pt idx="20">
                  <c:v>160.60585081812155</c:v>
                </c:pt>
                <c:pt idx="21">
                  <c:v>154.50229164017912</c:v>
                </c:pt>
                <c:pt idx="22">
                  <c:v>148.41215186387649</c:v>
                </c:pt>
                <c:pt idx="23">
                  <c:v>142.33402422776879</c:v>
                </c:pt>
                <c:pt idx="24">
                  <c:v>136.26647215379887</c:v>
                </c:pt>
                <c:pt idx="25">
                  <c:v>130.20803325359935</c:v>
                </c:pt>
                <c:pt idx="26">
                  <c:v>124.15722289770606</c:v>
                </c:pt>
                <c:pt idx="27">
                  <c:v>118.11253783898017</c:v>
                </c:pt>
                <c:pt idx="28">
                  <c:v>112.07245988140407</c:v>
                </c:pt>
                <c:pt idx="29">
                  <c:v>106.0354595853085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99-44B9-884E-FB1DF1EC0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009456"/>
        <c:axId val="360004880"/>
      </c:scatterChart>
      <c:valAx>
        <c:axId val="36000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_ ;\-0.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0004880"/>
        <c:crosses val="autoZero"/>
        <c:crossBetween val="midCat"/>
      </c:valAx>
      <c:valAx>
        <c:axId val="36000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000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17</xdr:row>
      <xdr:rowOff>174170</xdr:rowOff>
    </xdr:from>
    <xdr:to>
      <xdr:col>11</xdr:col>
      <xdr:colOff>76200</xdr:colOff>
      <xdr:row>38</xdr:row>
      <xdr:rowOff>43543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17</xdr:row>
      <xdr:rowOff>163830</xdr:rowOff>
    </xdr:from>
    <xdr:to>
      <xdr:col>10</xdr:col>
      <xdr:colOff>312420</xdr:colOff>
      <xdr:row>32</xdr:row>
      <xdr:rowOff>163830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sha/Downloads/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</sheetNames>
    <sheetDataSet>
      <sheetData sheetId="0">
        <row r="10">
          <cell r="E10">
            <v>0</v>
          </cell>
          <cell r="F10">
            <v>3.3333333333333335E-3</v>
          </cell>
          <cell r="G10">
            <v>6.6666666666666671E-3</v>
          </cell>
          <cell r="H10">
            <v>0.01</v>
          </cell>
          <cell r="I10">
            <v>1.3333333333333334E-2</v>
          </cell>
          <cell r="J10">
            <v>1.6666666666666666E-2</v>
          </cell>
          <cell r="K10">
            <v>0.02</v>
          </cell>
          <cell r="L10">
            <v>2.3333333333333334E-2</v>
          </cell>
          <cell r="M10">
            <v>2.6666666666666668E-2</v>
          </cell>
          <cell r="N10">
            <v>3.0000000000000002E-2</v>
          </cell>
          <cell r="O10">
            <v>3.3333333333333333E-2</v>
          </cell>
          <cell r="P10">
            <v>3.6666666666666667E-2</v>
          </cell>
          <cell r="Q10">
            <v>0.04</v>
          </cell>
          <cell r="R10">
            <v>4.3333333333333335E-2</v>
          </cell>
          <cell r="S10">
            <v>4.6666666666666669E-2</v>
          </cell>
          <cell r="T10">
            <v>0.05</v>
          </cell>
          <cell r="U10">
            <v>5.3333333333333337E-2</v>
          </cell>
          <cell r="V10">
            <v>5.6666666666666671E-2</v>
          </cell>
          <cell r="W10">
            <v>6.0000000000000005E-2</v>
          </cell>
          <cell r="X10">
            <v>6.3333333333333339E-2</v>
          </cell>
          <cell r="Y10">
            <v>6.6666666666666666E-2</v>
          </cell>
          <cell r="Z10">
            <v>6.9999999999999993E-2</v>
          </cell>
          <cell r="AA10">
            <v>7.333333333333332E-2</v>
          </cell>
          <cell r="AB10">
            <v>7.6666666666666647E-2</v>
          </cell>
          <cell r="AC10">
            <v>7.9999999999999974E-2</v>
          </cell>
          <cell r="AD10">
            <v>8.3333333333333301E-2</v>
          </cell>
          <cell r="AE10">
            <v>8.6666666666666628E-2</v>
          </cell>
          <cell r="AF10">
            <v>8.9999999999999955E-2</v>
          </cell>
          <cell r="AG10">
            <v>9.3333333333333282E-2</v>
          </cell>
          <cell r="AH10">
            <v>9.6666666666666609E-2</v>
          </cell>
          <cell r="AI10">
            <v>9.9999999999999936E-2</v>
          </cell>
        </row>
        <row r="11">
          <cell r="E11">
            <v>300</v>
          </cell>
          <cell r="F11">
            <v>292.21368214735639</v>
          </cell>
          <cell r="G11">
            <v>284.439632993462</v>
          </cell>
          <cell r="H11">
            <v>276.689986750191</v>
          </cell>
          <cell r="I11">
            <v>268.97661013212502</v>
          </cell>
          <cell r="J11">
            <v>261.31097228274467</v>
          </cell>
          <cell r="K11">
            <v>253.7040190649484</v>
          </cell>
          <cell r="L11">
            <v>246.16605309543681</v>
          </cell>
          <cell r="M11">
            <v>238.70662083909593</v>
          </cell>
          <cell r="N11">
            <v>231.33440800162151</v>
          </cell>
          <cell r="O11">
            <v>224.05714436711008</v>
          </cell>
          <cell r="P11">
            <v>216.88151912323576</v>
          </cell>
          <cell r="Q11">
            <v>209.81310760110242</v>
          </cell>
          <cell r="R11">
            <v>202.85631023120138</v>
          </cell>
          <cell r="S11">
            <v>196.01430438251862</v>
          </cell>
          <cell r="T11">
            <v>189.28900961021589</v>
          </cell>
          <cell r="U11">
            <v>182.68106669003538</v>
          </cell>
          <cell r="V11">
            <v>176.18983066627078</v>
          </cell>
          <cell r="W11">
            <v>169.81337798648079</v>
          </cell>
          <cell r="X11">
            <v>163.54852764178463</v>
          </cell>
          <cell r="Y11">
            <v>157.3908760782617</v>
          </cell>
          <cell r="Z11">
            <v>151.33484549435349</v>
          </cell>
          <cell r="AA11">
            <v>145.3737449928766</v>
          </cell>
          <cell r="AB11">
            <v>139.49984391588401</v>
          </cell>
          <cell r="AC11">
            <v>133.70445655768003</v>
          </cell>
          <cell r="AD11">
            <v>127.97803732722903</v>
          </cell>
          <cell r="AE11">
            <v>122.3102853173399</v>
          </cell>
          <cell r="AF11">
            <v>116.69025713556866</v>
          </cell>
          <cell r="AG11">
            <v>111.1064867618642</v>
          </cell>
          <cell r="AH11">
            <v>105.54711112153952</v>
          </cell>
          <cell r="AI11">
            <v>98.880444454872844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I17"/>
  <sheetViews>
    <sheetView zoomScale="70" zoomScaleNormal="70" workbookViewId="0">
      <selection activeCell="N29" sqref="N29"/>
    </sheetView>
  </sheetViews>
  <sheetFormatPr defaultRowHeight="14.4" x14ac:dyDescent="0.3"/>
  <cols>
    <col min="2" max="2" width="12.21875" bestFit="1" customWidth="1"/>
    <col min="5" max="6" width="12.77734375" bestFit="1" customWidth="1"/>
    <col min="7" max="33" width="7.44140625" bestFit="1" customWidth="1"/>
    <col min="34" max="34" width="13" bestFit="1" customWidth="1"/>
    <col min="35" max="35" width="7.44140625" bestFit="1" customWidth="1"/>
  </cols>
  <sheetData>
    <row r="1" spans="1:35" x14ac:dyDescent="0.3">
      <c r="A1" t="s">
        <v>0</v>
      </c>
      <c r="B1">
        <v>0.1</v>
      </c>
    </row>
    <row r="2" spans="1:35" x14ac:dyDescent="0.3">
      <c r="A2" t="s">
        <v>1</v>
      </c>
      <c r="B2">
        <f>B1/30</f>
        <v>3.3333333333333335E-3</v>
      </c>
    </row>
    <row r="3" spans="1:35" x14ac:dyDescent="0.3">
      <c r="A3" t="s">
        <v>2</v>
      </c>
      <c r="B3">
        <v>30</v>
      </c>
      <c r="E3">
        <f>(B7*B6*B2^2)/(2*B8)</f>
        <v>0.4333333333333334</v>
      </c>
    </row>
    <row r="4" spans="1:35" x14ac:dyDescent="0.3">
      <c r="A4" t="s">
        <v>3</v>
      </c>
      <c r="B4">
        <v>60</v>
      </c>
      <c r="C4">
        <v>90</v>
      </c>
    </row>
    <row r="6" spans="1:35" x14ac:dyDescent="0.3">
      <c r="A6" t="s">
        <v>4</v>
      </c>
      <c r="B6">
        <v>460</v>
      </c>
    </row>
    <row r="7" spans="1:35" x14ac:dyDescent="0.3">
      <c r="A7" t="s">
        <v>5</v>
      </c>
      <c r="B7">
        <v>7800</v>
      </c>
    </row>
    <row r="8" spans="1:35" x14ac:dyDescent="0.3">
      <c r="A8" t="s">
        <v>6</v>
      </c>
      <c r="B8">
        <v>46</v>
      </c>
    </row>
    <row r="9" spans="1:35" x14ac:dyDescent="0.3"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  <c r="AB9">
        <v>24</v>
      </c>
      <c r="AC9">
        <v>25</v>
      </c>
      <c r="AD9">
        <v>26</v>
      </c>
      <c r="AE9">
        <v>27</v>
      </c>
      <c r="AF9">
        <v>28</v>
      </c>
      <c r="AG9">
        <v>29</v>
      </c>
      <c r="AH9">
        <v>30</v>
      </c>
      <c r="AI9">
        <v>31</v>
      </c>
    </row>
    <row r="10" spans="1:35" x14ac:dyDescent="0.3">
      <c r="A10" t="s">
        <v>7</v>
      </c>
      <c r="B10">
        <v>300</v>
      </c>
      <c r="D10" t="s">
        <v>0</v>
      </c>
      <c r="E10" s="1">
        <v>0</v>
      </c>
      <c r="F10" s="1">
        <f>E10+$B$2</f>
        <v>3.3333333333333335E-3</v>
      </c>
      <c r="G10" s="1">
        <f t="shared" ref="G10:AI10" si="0">F10+$B$2</f>
        <v>6.6666666666666671E-3</v>
      </c>
      <c r="H10" s="1">
        <f t="shared" si="0"/>
        <v>0.01</v>
      </c>
      <c r="I10" s="1">
        <f t="shared" si="0"/>
        <v>1.3333333333333334E-2</v>
      </c>
      <c r="J10" s="1">
        <f t="shared" si="0"/>
        <v>1.6666666666666666E-2</v>
      </c>
      <c r="K10" s="1">
        <f t="shared" si="0"/>
        <v>0.02</v>
      </c>
      <c r="L10" s="1">
        <f t="shared" si="0"/>
        <v>2.3333333333333334E-2</v>
      </c>
      <c r="M10" s="1">
        <f t="shared" si="0"/>
        <v>2.6666666666666668E-2</v>
      </c>
      <c r="N10" s="1">
        <f t="shared" si="0"/>
        <v>3.0000000000000002E-2</v>
      </c>
      <c r="O10" s="1">
        <f t="shared" si="0"/>
        <v>3.3333333333333333E-2</v>
      </c>
      <c r="P10" s="1">
        <f t="shared" si="0"/>
        <v>3.6666666666666667E-2</v>
      </c>
      <c r="Q10" s="1">
        <f t="shared" si="0"/>
        <v>0.04</v>
      </c>
      <c r="R10" s="1">
        <f t="shared" si="0"/>
        <v>4.3333333333333335E-2</v>
      </c>
      <c r="S10" s="1">
        <f t="shared" si="0"/>
        <v>4.6666666666666669E-2</v>
      </c>
      <c r="T10" s="1">
        <f t="shared" si="0"/>
        <v>0.05</v>
      </c>
      <c r="U10" s="1">
        <f t="shared" si="0"/>
        <v>5.3333333333333337E-2</v>
      </c>
      <c r="V10" s="1">
        <f t="shared" si="0"/>
        <v>5.6666666666666671E-2</v>
      </c>
      <c r="W10" s="1">
        <f t="shared" si="0"/>
        <v>6.0000000000000005E-2</v>
      </c>
      <c r="X10" s="1">
        <f t="shared" si="0"/>
        <v>6.3333333333333339E-2</v>
      </c>
      <c r="Y10" s="1">
        <f t="shared" si="0"/>
        <v>6.6666666666666666E-2</v>
      </c>
      <c r="Z10" s="1">
        <f t="shared" si="0"/>
        <v>6.9999999999999993E-2</v>
      </c>
      <c r="AA10" s="1">
        <f t="shared" si="0"/>
        <v>7.333333333333332E-2</v>
      </c>
      <c r="AB10" s="1">
        <f t="shared" si="0"/>
        <v>7.6666666666666647E-2</v>
      </c>
      <c r="AC10" s="1">
        <f t="shared" si="0"/>
        <v>7.9999999999999974E-2</v>
      </c>
      <c r="AD10" s="1">
        <f t="shared" si="0"/>
        <v>8.3333333333333301E-2</v>
      </c>
      <c r="AE10" s="1">
        <f t="shared" si="0"/>
        <v>8.6666666666666628E-2</v>
      </c>
      <c r="AF10" s="1">
        <f t="shared" si="0"/>
        <v>8.9999999999999955E-2</v>
      </c>
      <c r="AG10" s="1">
        <f t="shared" si="0"/>
        <v>9.3333333333333282E-2</v>
      </c>
      <c r="AH10" s="1">
        <f t="shared" si="0"/>
        <v>9.6666666666666609E-2</v>
      </c>
      <c r="AI10" s="1">
        <f t="shared" si="0"/>
        <v>9.9999999999999936E-2</v>
      </c>
    </row>
    <row r="11" spans="1:35" x14ac:dyDescent="0.3">
      <c r="A11" t="s">
        <v>8</v>
      </c>
      <c r="B11">
        <v>100</v>
      </c>
      <c r="D11" t="s">
        <v>3</v>
      </c>
      <c r="E11">
        <f>B10</f>
        <v>300</v>
      </c>
      <c r="F11">
        <v>293.16633136757514</v>
      </c>
      <c r="G11">
        <v>286.33449246099906</v>
      </c>
      <c r="H11">
        <v>279.50629295850217</v>
      </c>
      <c r="I11">
        <v>272.68350266275775</v>
      </c>
      <c r="J11">
        <v>265.86783210989233</v>
      </c>
      <c r="K11">
        <v>259.06091382792704</v>
      </c>
      <c r="L11">
        <v>252.26428445001025</v>
      </c>
      <c r="M11">
        <v>245.47936787843298</v>
      </c>
      <c r="N11">
        <v>238.7074596838988</v>
      </c>
      <c r="O11">
        <v>231.94971291098005</v>
      </c>
      <c r="P11">
        <v>225.20712544527885</v>
      </c>
      <c r="Q11">
        <v>218.48052908069405</v>
      </c>
      <c r="R11">
        <v>211.77058040656175</v>
      </c>
      <c r="S11">
        <v>205.07775361449211</v>
      </c>
      <c r="T11">
        <v>198.40233530368783</v>
      </c>
      <c r="U11">
        <v>191.74442134162911</v>
      </c>
      <c r="V11">
        <v>185.10391581448815</v>
      </c>
      <c r="W11">
        <v>178.48053207874017</v>
      </c>
      <c r="X11">
        <v>171.87379590241568</v>
      </c>
      <c r="Y11">
        <v>165.28305066154584</v>
      </c>
      <c r="Z11">
        <v>158.70746453483932</v>
      </c>
      <c r="AA11">
        <v>152.14603961773884</v>
      </c>
      <c r="AB11">
        <v>145.59762285598276</v>
      </c>
      <c r="AC11">
        <v>139.06091867886758</v>
      </c>
      <c r="AD11">
        <v>132.53450319379147</v>
      </c>
      <c r="AE11">
        <v>126.01683978656121</v>
      </c>
      <c r="AF11">
        <v>119.5062959565482</v>
      </c>
      <c r="AG11">
        <v>113.00116120225869</v>
      </c>
      <c r="AH11">
        <v>106.49966576137879</v>
      </c>
      <c r="AI11">
        <f>B11</f>
        <v>100</v>
      </c>
    </row>
    <row r="13" spans="1:35" x14ac:dyDescent="0.3">
      <c r="A13" t="s">
        <v>11</v>
      </c>
      <c r="B13">
        <f>B8/B2^2</f>
        <v>4139999.9999999991</v>
      </c>
      <c r="D13" t="s">
        <v>16</v>
      </c>
      <c r="F13">
        <f>F16*G13+F17</f>
        <v>293.21225208252747</v>
      </c>
      <c r="G13">
        <f t="shared" ref="G13:AF13" si="1">G16*H13+G17</f>
        <v>286.42583076348694</v>
      </c>
      <c r="H13">
        <f t="shared" si="1"/>
        <v>279.6420481065183</v>
      </c>
      <c r="I13">
        <f t="shared" si="1"/>
        <v>272.86218726493678</v>
      </c>
      <c r="J13">
        <f t="shared" si="1"/>
        <v>266.08748842297376</v>
      </c>
      <c r="K13">
        <f t="shared" si="1"/>
        <v>259.31913520783309</v>
      </c>
      <c r="L13">
        <f t="shared" si="1"/>
        <v>252.55824172144523</v>
      </c>
      <c r="M13">
        <f t="shared" si="1"/>
        <v>245.80584033400996</v>
      </c>
      <c r="N13">
        <f t="shared" si="1"/>
        <v>239.0628703730691</v>
      </c>
      <c r="O13">
        <f t="shared" si="1"/>
        <v>232.3301678320376</v>
      </c>
      <c r="P13">
        <f t="shared" si="1"/>
        <v>225.60845621094774</v>
      </c>
      <c r="Q13">
        <f t="shared" si="1"/>
        <v>218.89833858975499</v>
      </c>
      <c r="R13">
        <f t="shared" si="1"/>
        <v>212.20029102104621</v>
      </c>
      <c r="S13">
        <f t="shared" si="1"/>
        <v>205.51465731453365</v>
      </c>
      <c r="T13">
        <f t="shared" si="1"/>
        <v>198.8416452704667</v>
      </c>
      <c r="U13">
        <f t="shared" si="1"/>
        <v>192.18132440321781</v>
      </c>
      <c r="V13">
        <f t="shared" si="1"/>
        <v>185.53362517997039</v>
      </c>
      <c r="W13">
        <f t="shared" si="1"/>
        <v>178.8983397828369</v>
      </c>
      <c r="X13">
        <f t="shared" si="1"/>
        <v>172.27512438604396</v>
      </c>
      <c r="Y13">
        <f t="shared" si="1"/>
        <v>165.6635029232225</v>
      </c>
      <c r="Z13">
        <f t="shared" si="1"/>
        <v>159.06287230351614</v>
      </c>
      <c r="AA13">
        <f t="shared" si="1"/>
        <v>152.47250901934936</v>
      </c>
      <c r="AB13">
        <f t="shared" si="1"/>
        <v>145.89157707345132</v>
      </c>
      <c r="AC13">
        <f t="shared" si="1"/>
        <v>139.31913713828015</v>
      </c>
      <c r="AD13">
        <f t="shared" si="1"/>
        <v>132.754156847492</v>
      </c>
      <c r="AE13">
        <f t="shared" si="1"/>
        <v>126.19552210669967</v>
      </c>
      <c r="AF13">
        <f t="shared" si="1"/>
        <v>119.6420492996002</v>
      </c>
      <c r="AG13">
        <f>AG16*AH13+AG17</f>
        <v>113.09249825574447</v>
      </c>
      <c r="AH13">
        <f>AH16*AI13+AH17</f>
        <v>106.54558583787835</v>
      </c>
      <c r="AI13">
        <v>100</v>
      </c>
    </row>
    <row r="14" spans="1:35" x14ac:dyDescent="0.3">
      <c r="A14" t="s">
        <v>12</v>
      </c>
      <c r="B14">
        <f>(2*B8)/(B2^2)+(B7*B6)/B3</f>
        <v>8399599.9999999981</v>
      </c>
    </row>
    <row r="15" spans="1:35" x14ac:dyDescent="0.3">
      <c r="A15" t="s">
        <v>13</v>
      </c>
      <c r="B15">
        <f>B8/B2^2</f>
        <v>4139999.9999999991</v>
      </c>
      <c r="D15" t="s">
        <v>14</v>
      </c>
      <c r="E15">
        <f t="shared" ref="E15:AH15" si="2">-$B$7*$B$6*E11/$B$3</f>
        <v>-35880000</v>
      </c>
      <c r="F15">
        <f t="shared" si="2"/>
        <v>-35062693.231561989</v>
      </c>
      <c r="G15">
        <f t="shared" si="2"/>
        <v>-34245605.298335485</v>
      </c>
      <c r="H15">
        <f t="shared" si="2"/>
        <v>-33428952.637836862</v>
      </c>
      <c r="I15">
        <f t="shared" si="2"/>
        <v>-32612946.918465827</v>
      </c>
      <c r="J15">
        <f t="shared" si="2"/>
        <v>-31797792.720343124</v>
      </c>
      <c r="K15">
        <f t="shared" si="2"/>
        <v>-30983685.293820076</v>
      </c>
      <c r="L15">
        <f t="shared" si="2"/>
        <v>-30170808.420221224</v>
      </c>
      <c r="M15">
        <f t="shared" si="2"/>
        <v>-29359332.398260586</v>
      </c>
      <c r="N15">
        <f t="shared" si="2"/>
        <v>-28549412.178194296</v>
      </c>
      <c r="O15">
        <f t="shared" si="2"/>
        <v>-27741185.664153215</v>
      </c>
      <c r="P15">
        <f t="shared" si="2"/>
        <v>-26934772.203255352</v>
      </c>
      <c r="Q15">
        <f t="shared" si="2"/>
        <v>-26130271.278051011</v>
      </c>
      <c r="R15">
        <f t="shared" si="2"/>
        <v>-25327761.416624784</v>
      </c>
      <c r="S15">
        <f t="shared" si="2"/>
        <v>-24527299.332293257</v>
      </c>
      <c r="T15">
        <f t="shared" si="2"/>
        <v>-23728919.302321065</v>
      </c>
      <c r="U15">
        <f t="shared" si="2"/>
        <v>-22932632.79245884</v>
      </c>
      <c r="V15">
        <f t="shared" si="2"/>
        <v>-22138428.331412785</v>
      </c>
      <c r="W15">
        <f t="shared" si="2"/>
        <v>-21346271.636617322</v>
      </c>
      <c r="X15">
        <f t="shared" si="2"/>
        <v>-20556105.989928916</v>
      </c>
      <c r="Y15">
        <f t="shared" si="2"/>
        <v>-19767852.859120883</v>
      </c>
      <c r="Z15">
        <f t="shared" si="2"/>
        <v>-18981412.758366782</v>
      </c>
      <c r="AA15">
        <f t="shared" si="2"/>
        <v>-18196666.338281564</v>
      </c>
      <c r="AB15">
        <f t="shared" si="2"/>
        <v>-17413475.693575539</v>
      </c>
      <c r="AC15">
        <f t="shared" si="2"/>
        <v>-16631685.873992562</v>
      </c>
      <c r="AD15">
        <f t="shared" si="2"/>
        <v>-15851126.581977459</v>
      </c>
      <c r="AE15">
        <f t="shared" si="2"/>
        <v>-15071614.038472719</v>
      </c>
      <c r="AF15">
        <f t="shared" si="2"/>
        <v>-14292952.996403165</v>
      </c>
      <c r="AG15">
        <f t="shared" si="2"/>
        <v>-13514938.879790138</v>
      </c>
      <c r="AH15">
        <f t="shared" si="2"/>
        <v>-12737360.025060903</v>
      </c>
    </row>
    <row r="16" spans="1:35" x14ac:dyDescent="0.3">
      <c r="D16" t="s">
        <v>10</v>
      </c>
      <c r="E16">
        <v>0</v>
      </c>
      <c r="F16">
        <f>$B$13/($B$14-$B$15*E16)</f>
        <v>0.49288061336254108</v>
      </c>
      <c r="G16">
        <f t="shared" ref="G16:AH16" si="3">$B$13/($B$14-$B$15*F16)</f>
        <v>0.6510381590602613</v>
      </c>
      <c r="H16">
        <f t="shared" si="3"/>
        <v>0.72576802287166231</v>
      </c>
      <c r="I16">
        <f t="shared" si="3"/>
        <v>0.76738852556043757</v>
      </c>
      <c r="J16">
        <f t="shared" si="3"/>
        <v>0.79270686641858257</v>
      </c>
      <c r="K16">
        <f t="shared" si="3"/>
        <v>0.80894235785897017</v>
      </c>
      <c r="L16">
        <f t="shared" si="3"/>
        <v>0.81970805651274514</v>
      </c>
      <c r="M16">
        <f t="shared" si="3"/>
        <v>0.82700616253973736</v>
      </c>
      <c r="N16">
        <f t="shared" si="3"/>
        <v>0.83202793257342833</v>
      </c>
      <c r="O16">
        <f t="shared" si="3"/>
        <v>0.83551894204862565</v>
      </c>
      <c r="P16">
        <f t="shared" si="3"/>
        <v>0.83796311667454249</v>
      </c>
      <c r="Q16">
        <f t="shared" si="3"/>
        <v>0.8396828948798809</v>
      </c>
      <c r="R16">
        <f t="shared" si="3"/>
        <v>0.84089720791671796</v>
      </c>
      <c r="S16">
        <f t="shared" si="3"/>
        <v>0.84175673619336178</v>
      </c>
      <c r="T16">
        <f t="shared" si="3"/>
        <v>0.84236619969341997</v>
      </c>
      <c r="U16">
        <f t="shared" si="3"/>
        <v>0.84279888543729231</v>
      </c>
      <c r="V16">
        <f t="shared" si="3"/>
        <v>0.84310633854929817</v>
      </c>
      <c r="W16">
        <f t="shared" si="3"/>
        <v>0.84332494158698379</v>
      </c>
      <c r="X16">
        <f t="shared" si="3"/>
        <v>0.84348044006887213</v>
      </c>
      <c r="Y16">
        <f t="shared" si="3"/>
        <v>0.84359108541484018</v>
      </c>
      <c r="Z16">
        <f t="shared" si="3"/>
        <v>0.84366983307405941</v>
      </c>
      <c r="AA16">
        <f t="shared" si="3"/>
        <v>0.84372588771153978</v>
      </c>
      <c r="AB16">
        <f t="shared" si="3"/>
        <v>0.84376579340275815</v>
      </c>
      <c r="AC16">
        <f t="shared" si="3"/>
        <v>0.84379420484570489</v>
      </c>
      <c r="AD16">
        <f t="shared" si="3"/>
        <v>0.84381443395586153</v>
      </c>
      <c r="AE16">
        <f t="shared" si="3"/>
        <v>0.84382883778936368</v>
      </c>
      <c r="AF16">
        <f t="shared" si="3"/>
        <v>0.84383909412200464</v>
      </c>
      <c r="AG16">
        <f t="shared" si="3"/>
        <v>0.8438463973547321</v>
      </c>
      <c r="AH16">
        <f t="shared" si="3"/>
        <v>0.84385159784895081</v>
      </c>
    </row>
    <row r="17" spans="4:34" x14ac:dyDescent="0.3">
      <c r="D17" t="s">
        <v>15</v>
      </c>
      <c r="E17">
        <v>300</v>
      </c>
      <c r="F17">
        <f>(E17*$B$15-F15)/($B$14-$B$15*E16)</f>
        <v>152.03851293294466</v>
      </c>
      <c r="G17">
        <f>(F17*$B$15-G15)/($B$14-$B$15*F16)</f>
        <v>104.36818656837826</v>
      </c>
      <c r="H17">
        <f t="shared" ref="H17:AH17" si="4">(G17*$B$15-H15)/($B$14-$B$15*G16)</f>
        <v>81.607397938807864</v>
      </c>
      <c r="I17">
        <f t="shared" si="4"/>
        <v>68.669701853950954</v>
      </c>
      <c r="J17">
        <f t="shared" si="4"/>
        <v>60.523429349995673</v>
      </c>
      <c r="K17">
        <f t="shared" si="4"/>
        <v>55.014075652971442</v>
      </c>
      <c r="L17">
        <f t="shared" si="4"/>
        <v>51.069214061771795</v>
      </c>
      <c r="M17">
        <f t="shared" si="4"/>
        <v>48.099373301043407</v>
      </c>
      <c r="N17">
        <f t="shared" si="4"/>
        <v>45.757681157341239</v>
      </c>
      <c r="O17">
        <f t="shared" si="4"/>
        <v>43.830029181442839</v>
      </c>
      <c r="P17">
        <f t="shared" si="4"/>
        <v>42.179722171397387</v>
      </c>
      <c r="Q17">
        <f t="shared" si="4"/>
        <v>40.717383930849714</v>
      </c>
      <c r="R17">
        <f t="shared" si="4"/>
        <v>39.383589499293784</v>
      </c>
      <c r="S17">
        <f t="shared" si="4"/>
        <v>38.138362972347387</v>
      </c>
      <c r="T17">
        <f t="shared" si="4"/>
        <v>36.954593380879793</v>
      </c>
      <c r="U17">
        <f t="shared" si="4"/>
        <v>35.813791890398427</v>
      </c>
      <c r="V17">
        <f t="shared" si="4"/>
        <v>34.703300953114542</v>
      </c>
      <c r="W17">
        <f t="shared" si="4"/>
        <v>33.614430573086011</v>
      </c>
      <c r="X17">
        <f t="shared" si="4"/>
        <v>32.541200037013361</v>
      </c>
      <c r="Y17">
        <f t="shared" si="4"/>
        <v>31.479481827497189</v>
      </c>
      <c r="Z17">
        <f t="shared" si="4"/>
        <v>30.426416070778657</v>
      </c>
      <c r="AA17">
        <f t="shared" si="4"/>
        <v>29.380008643415124</v>
      </c>
      <c r="AB17">
        <f t="shared" si="4"/>
        <v>28.338854789782697</v>
      </c>
      <c r="AC17">
        <f t="shared" si="4"/>
        <v>27.301948921188647</v>
      </c>
      <c r="AD17">
        <f t="shared" si="4"/>
        <v>26.268553793262814</v>
      </c>
      <c r="AE17">
        <f t="shared" si="4"/>
        <v>25.238110695480277</v>
      </c>
      <c r="AF17">
        <f t="shared" si="4"/>
        <v>24.210178019478391</v>
      </c>
      <c r="AG17">
        <f t="shared" si="4"/>
        <v>23.184389492401461</v>
      </c>
      <c r="AH17">
        <f t="shared" si="4"/>
        <v>22.160426052983272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I17"/>
  <sheetViews>
    <sheetView tabSelected="1" workbookViewId="0">
      <selection activeCell="P25" sqref="P24:P25"/>
    </sheetView>
  </sheetViews>
  <sheetFormatPr defaultRowHeight="14.4" x14ac:dyDescent="0.3"/>
  <cols>
    <col min="2" max="2" width="13.77734375" customWidth="1"/>
    <col min="3" max="3" width="17.77734375" customWidth="1"/>
  </cols>
  <sheetData>
    <row r="1" spans="1:35" x14ac:dyDescent="0.3">
      <c r="A1" s="2" t="s">
        <v>0</v>
      </c>
      <c r="B1" s="4">
        <v>0.1</v>
      </c>
    </row>
    <row r="2" spans="1:35" x14ac:dyDescent="0.3">
      <c r="A2" s="2" t="s">
        <v>1</v>
      </c>
      <c r="B2" s="4">
        <f>B1/30</f>
        <v>3.3333333333333335E-3</v>
      </c>
    </row>
    <row r="3" spans="1:35" x14ac:dyDescent="0.3">
      <c r="A3" s="2" t="s">
        <v>2</v>
      </c>
      <c r="B3" s="4">
        <v>2</v>
      </c>
    </row>
    <row r="4" spans="1:35" x14ac:dyDescent="0.3">
      <c r="A4" s="2" t="s">
        <v>3</v>
      </c>
      <c r="B4" s="4">
        <v>500</v>
      </c>
    </row>
    <row r="5" spans="1:35" x14ac:dyDescent="0.3">
      <c r="B5" s="1"/>
    </row>
    <row r="6" spans="1:35" x14ac:dyDescent="0.3">
      <c r="A6" s="2" t="s">
        <v>4</v>
      </c>
      <c r="B6" s="5">
        <v>460</v>
      </c>
    </row>
    <row r="7" spans="1:35" x14ac:dyDescent="0.3">
      <c r="A7" s="2" t="s">
        <v>20</v>
      </c>
      <c r="B7" s="5">
        <v>7800</v>
      </c>
    </row>
    <row r="8" spans="1:35" x14ac:dyDescent="0.3">
      <c r="A8" s="2" t="s">
        <v>6</v>
      </c>
      <c r="B8" s="5">
        <v>46</v>
      </c>
    </row>
    <row r="9" spans="1:35" x14ac:dyDescent="0.3">
      <c r="B9" s="1"/>
      <c r="E9" s="2">
        <v>1</v>
      </c>
      <c r="F9" s="2">
        <v>2</v>
      </c>
      <c r="G9" s="2">
        <v>3</v>
      </c>
      <c r="H9" s="2">
        <v>4</v>
      </c>
      <c r="I9" s="2">
        <v>5</v>
      </c>
      <c r="J9" s="2">
        <v>6</v>
      </c>
      <c r="K9" s="2">
        <v>7</v>
      </c>
      <c r="L9" s="2">
        <v>8</v>
      </c>
      <c r="M9" s="2">
        <v>9</v>
      </c>
      <c r="N9" s="2">
        <v>10</v>
      </c>
      <c r="O9" s="2">
        <v>11</v>
      </c>
      <c r="P9" s="2">
        <v>12</v>
      </c>
      <c r="Q9" s="2">
        <v>13</v>
      </c>
      <c r="R9" s="2">
        <v>14</v>
      </c>
      <c r="S9" s="2">
        <v>15</v>
      </c>
      <c r="T9" s="2">
        <v>16</v>
      </c>
      <c r="U9" s="2">
        <v>17</v>
      </c>
      <c r="V9" s="2">
        <v>18</v>
      </c>
      <c r="W9" s="2">
        <v>19</v>
      </c>
      <c r="X9" s="2">
        <v>20</v>
      </c>
      <c r="Y9" s="2">
        <v>21</v>
      </c>
      <c r="Z9" s="2">
        <v>22</v>
      </c>
      <c r="AA9" s="2">
        <v>23</v>
      </c>
      <c r="AB9" s="2">
        <v>24</v>
      </c>
      <c r="AC9" s="2">
        <v>25</v>
      </c>
      <c r="AD9" s="2">
        <v>26</v>
      </c>
      <c r="AE9" s="2">
        <v>27</v>
      </c>
      <c r="AF9" s="2">
        <v>28</v>
      </c>
      <c r="AG9" s="2">
        <v>29</v>
      </c>
      <c r="AH9" s="2">
        <v>30</v>
      </c>
      <c r="AI9" s="2">
        <v>31</v>
      </c>
    </row>
    <row r="10" spans="1:35" x14ac:dyDescent="0.3">
      <c r="A10" s="2" t="s">
        <v>7</v>
      </c>
      <c r="B10" s="4">
        <v>300</v>
      </c>
      <c r="D10" t="s">
        <v>0</v>
      </c>
      <c r="E10" s="6">
        <v>0</v>
      </c>
      <c r="F10" s="6">
        <f>E10+$B$2</f>
        <v>3.3333333333333335E-3</v>
      </c>
      <c r="G10" s="6">
        <f>F10+$B$2</f>
        <v>6.6666666666666671E-3</v>
      </c>
      <c r="H10" s="6">
        <f>G10+$B$2</f>
        <v>0.01</v>
      </c>
      <c r="I10" s="6">
        <f>H10+$B$2</f>
        <v>1.3333333333333334E-2</v>
      </c>
      <c r="J10" s="6">
        <f>I10+$B$2</f>
        <v>1.6666666666666666E-2</v>
      </c>
      <c r="K10" s="6">
        <f>J10+$B$2</f>
        <v>0.02</v>
      </c>
      <c r="L10" s="6">
        <f>K10+$B$2</f>
        <v>2.3333333333333334E-2</v>
      </c>
      <c r="M10" s="6">
        <f>L10+$B$2</f>
        <v>2.6666666666666668E-2</v>
      </c>
      <c r="N10" s="6">
        <f>M10+$B$2</f>
        <v>3.0000000000000002E-2</v>
      </c>
      <c r="O10" s="6">
        <f>N10+$B$2</f>
        <v>3.3333333333333333E-2</v>
      </c>
      <c r="P10" s="6">
        <f>O10+$B$2</f>
        <v>3.6666666666666667E-2</v>
      </c>
      <c r="Q10" s="6">
        <f>P10+$B$2</f>
        <v>0.04</v>
      </c>
      <c r="R10" s="6">
        <f>Q10+$B$2</f>
        <v>4.3333333333333335E-2</v>
      </c>
      <c r="S10" s="6">
        <f>R10+$B$2</f>
        <v>4.6666666666666669E-2</v>
      </c>
      <c r="T10" s="6">
        <f>S10+$B$2</f>
        <v>0.05</v>
      </c>
      <c r="U10" s="6">
        <f>T10+$B$2</f>
        <v>5.3333333333333337E-2</v>
      </c>
      <c r="V10" s="6">
        <f>U10+$B$2</f>
        <v>5.6666666666666671E-2</v>
      </c>
      <c r="W10" s="6">
        <f>V10+$B$2</f>
        <v>6.0000000000000005E-2</v>
      </c>
      <c r="X10" s="6">
        <f>W10+$B$2</f>
        <v>6.3333333333333339E-2</v>
      </c>
      <c r="Y10" s="6">
        <f>X10+$B$2</f>
        <v>6.6666666666666666E-2</v>
      </c>
      <c r="Z10" s="6">
        <f>Y10+$B$2</f>
        <v>6.9999999999999993E-2</v>
      </c>
      <c r="AA10" s="6">
        <f>Z10+$B$2</f>
        <v>7.333333333333332E-2</v>
      </c>
      <c r="AB10" s="6">
        <f>AA10+$B$2</f>
        <v>7.6666666666666647E-2</v>
      </c>
      <c r="AC10" s="6">
        <f>AB10+$B$2</f>
        <v>7.9999999999999974E-2</v>
      </c>
      <c r="AD10" s="6">
        <f>AC10+$B$2</f>
        <v>8.3333333333333301E-2</v>
      </c>
      <c r="AE10" s="6">
        <f>AD10+$B$2</f>
        <v>8.6666666666666628E-2</v>
      </c>
      <c r="AF10" s="6">
        <f>AE10+$B$2</f>
        <v>8.9999999999999955E-2</v>
      </c>
      <c r="AG10" s="6">
        <f>AF10+$B$2</f>
        <v>9.3333333333333282E-2</v>
      </c>
      <c r="AH10" s="6">
        <f>AG10+$B$2</f>
        <v>9.6666666666666609E-2</v>
      </c>
      <c r="AI10" s="6">
        <f>AH10+$B$2</f>
        <v>9.9999999999999936E-2</v>
      </c>
    </row>
    <row r="11" spans="1:35" x14ac:dyDescent="0.3">
      <c r="A11" s="2" t="s">
        <v>8</v>
      </c>
      <c r="B11" s="4">
        <v>100</v>
      </c>
      <c r="D11" t="s">
        <v>21</v>
      </c>
      <c r="E11">
        <f>E14/B8*B2+F11</f>
        <v>287.34140353796352</v>
      </c>
      <c r="F11">
        <v>280.67473687129683</v>
      </c>
      <c r="G11">
        <v>274.11027507303794</v>
      </c>
      <c r="H11">
        <v>267.57646293011447</v>
      </c>
      <c r="I11">
        <v>261.07297613342064</v>
      </c>
      <c r="J11">
        <v>254.59941634770018</v>
      </c>
      <c r="K11">
        <v>248.15531218434782</v>
      </c>
      <c r="L11">
        <v>241.74012035259926</v>
      </c>
      <c r="M11">
        <v>235.35322698628741</v>
      </c>
      <c r="N11">
        <v>228.99394914291304</v>
      </c>
      <c r="O11">
        <v>222.66153647135545</v>
      </c>
      <c r="P11">
        <v>216.35517304413833</v>
      </c>
      <c r="Q11">
        <v>210.07397934976166</v>
      </c>
      <c r="R11">
        <v>203.81701444022201</v>
      </c>
      <c r="S11">
        <v>197.58327822846385</v>
      </c>
      <c r="T11">
        <v>191.37171393013944</v>
      </c>
      <c r="U11">
        <v>185.18121064370422</v>
      </c>
      <c r="V11">
        <v>179.01060606253736</v>
      </c>
      <c r="W11">
        <v>172.8586893124575</v>
      </c>
      <c r="X11">
        <v>166.72420390769815</v>
      </c>
      <c r="Y11">
        <v>160.60585081812155</v>
      </c>
      <c r="Z11">
        <v>154.50229164017912</v>
      </c>
      <c r="AA11">
        <v>148.41215186387649</v>
      </c>
      <c r="AB11">
        <v>142.33402422776879</v>
      </c>
      <c r="AC11">
        <v>136.26647215379887</v>
      </c>
      <c r="AD11">
        <v>130.20803325359935</v>
      </c>
      <c r="AE11">
        <v>124.15722289770606</v>
      </c>
      <c r="AF11">
        <v>118.11253783898017</v>
      </c>
      <c r="AG11">
        <v>112.07245988140407</v>
      </c>
      <c r="AH11">
        <v>106.0354595853085</v>
      </c>
      <c r="AI11">
        <v>100</v>
      </c>
    </row>
    <row r="12" spans="1:35" x14ac:dyDescent="0.3">
      <c r="A12" s="7" t="s">
        <v>11</v>
      </c>
      <c r="B12" s="2">
        <f>$B$8/($B$2^2)</f>
        <v>4139999.9999999991</v>
      </c>
    </row>
    <row r="13" spans="1:35" x14ac:dyDescent="0.3">
      <c r="A13" s="7" t="s">
        <v>12</v>
      </c>
      <c r="B13" s="2">
        <f>(2*$B$8)/($B$2^2)+($B$7*$B$6)/$B$3</f>
        <v>10073999.999999998</v>
      </c>
      <c r="D13" t="s">
        <v>17</v>
      </c>
      <c r="F13">
        <f>F16*G13+F17</f>
        <v>280.74564315969945</v>
      </c>
      <c r="G13">
        <f t="shared" ref="G13:AH13" si="0">G16*H13+G17</f>
        <v>274.18060883974317</v>
      </c>
      <c r="H13">
        <f t="shared" si="0"/>
        <v>267.64605248535918</v>
      </c>
      <c r="I13">
        <f t="shared" si="0"/>
        <v>261.14165160491461</v>
      </c>
      <c r="J13">
        <f t="shared" si="0"/>
        <v>254.66701009545076</v>
      </c>
      <c r="K13">
        <f t="shared" si="0"/>
        <v>248.22165921001221</v>
      </c>
      <c r="L13">
        <f t="shared" si="0"/>
        <v>241.80505870236158</v>
      </c>
      <c r="M13">
        <f t="shared" si="0"/>
        <v>235.41659814627459</v>
      </c>
      <c r="N13">
        <f t="shared" si="0"/>
        <v>229.05559842618212</v>
      </c>
      <c r="O13">
        <f t="shared" si="0"/>
        <v>222.7213133955062</v>
      </c>
      <c r="P13">
        <f t="shared" si="0"/>
        <v>216.41293169862894</v>
      </c>
      <c r="Q13">
        <f t="shared" si="0"/>
        <v>210.12957875203097</v>
      </c>
      <c r="R13">
        <f t="shared" si="0"/>
        <v>203.87031887974968</v>
      </c>
      <c r="S13">
        <f t="shared" si="0"/>
        <v>197.63415759793037</v>
      </c>
      <c r="T13">
        <f t="shared" si="0"/>
        <v>191.42004404287988</v>
      </c>
      <c r="U13">
        <f t="shared" si="0"/>
        <v>185.22687353668357</v>
      </c>
      <c r="V13">
        <f t="shared" si="0"/>
        <v>179.05349028411166</v>
      </c>
      <c r="W13">
        <f t="shared" si="0"/>
        <v>172.8986901942219</v>
      </c>
      <c r="X13">
        <f t="shared" si="0"/>
        <v>166.76122381976344</v>
      </c>
      <c r="Y13">
        <f t="shared" si="0"/>
        <v>160.63979940719992</v>
      </c>
      <c r="Z13">
        <f t="shared" si="0"/>
        <v>154.53308604990372</v>
      </c>
      <c r="AA13">
        <f t="shared" si="0"/>
        <v>148.4397169368215</v>
      </c>
      <c r="AB13">
        <f t="shared" si="0"/>
        <v>142.35829268868207</v>
      </c>
      <c r="AC13">
        <f t="shared" si="0"/>
        <v>136.28738477360508</v>
      </c>
      <c r="AD13">
        <f t="shared" si="0"/>
        <v>130.22553899377743</v>
      </c>
      <c r="AE13">
        <f t="shared" si="0"/>
        <v>124.17127903469364</v>
      </c>
      <c r="AF13">
        <f t="shared" si="0"/>
        <v>118.12311006830446</v>
      </c>
      <c r="AG13">
        <f t="shared" si="0"/>
        <v>112.07952240128913</v>
      </c>
      <c r="AH13">
        <f t="shared" si="0"/>
        <v>106.03899515955732</v>
      </c>
      <c r="AI13">
        <v>100</v>
      </c>
    </row>
    <row r="14" spans="1:35" x14ac:dyDescent="0.3">
      <c r="A14" s="7" t="s">
        <v>13</v>
      </c>
      <c r="B14" s="2">
        <f>$B$8/($B$2^2)</f>
        <v>4139999.9999999991</v>
      </c>
      <c r="D14" t="s">
        <v>9</v>
      </c>
      <c r="E14">
        <v>92000</v>
      </c>
      <c r="F14" s="3">
        <f>-$B$8*(F11-E11)/$B$2</f>
        <v>92000.000000000262</v>
      </c>
      <c r="G14" s="3">
        <f>-$B$8*(G11-F11)/$B$2</f>
        <v>90589.572815972671</v>
      </c>
      <c r="H14" s="3">
        <f>-$B$8*(H11-G11)/$B$2</f>
        <v>90166.607572343826</v>
      </c>
      <c r="I14" s="3">
        <f>-$B$8*(I11-H11)/$B$2</f>
        <v>89748.117794374921</v>
      </c>
      <c r="J14" s="3">
        <f>-$B$8*(J11-I11)/$B$2</f>
        <v>89335.125042942251</v>
      </c>
      <c r="K14" s="3">
        <f>-$B$8*(K11-J11)/$B$2</f>
        <v>88928.637454262614</v>
      </c>
      <c r="L14" s="3">
        <f>-$B$8*(L11-K11)/$B$2</f>
        <v>88529.647278130098</v>
      </c>
      <c r="M14" s="3">
        <f>-$B$8*(M11-L11)/$B$2</f>
        <v>88139.128455103564</v>
      </c>
      <c r="N14" s="3">
        <f>-$B$8*(N11-M11)/$B$2</f>
        <v>87758.034238566324</v>
      </c>
      <c r="O14" s="3">
        <f>-$B$8*(O11-N11)/$B$2</f>
        <v>87387.294867494755</v>
      </c>
      <c r="P14" s="3">
        <f>-$B$8*(P11-O11)/$B$2</f>
        <v>87027.815295596272</v>
      </c>
      <c r="Q14" s="3">
        <f>-$B$8*(Q11-P11)/$B$2</f>
        <v>86680.472982398016</v>
      </c>
      <c r="R14" s="3">
        <f>-$B$8*(R11-Q11)/$B$2</f>
        <v>86346.115751647128</v>
      </c>
      <c r="S14" s="3">
        <f>-$B$8*(S11-R11)/$B$2</f>
        <v>86025.559722262551</v>
      </c>
      <c r="T14" s="3">
        <f>-$B$8*(T11-S11)/$B$2</f>
        <v>85719.587316876976</v>
      </c>
      <c r="U14" s="3">
        <f>-$B$8*(U11-T11)/$B$2</f>
        <v>85428.945352805982</v>
      </c>
      <c r="V14" s="3">
        <f>-$B$8*(V11-U11)/$B$2</f>
        <v>85154.343220102601</v>
      </c>
      <c r="W14" s="3">
        <f>-$B$8*(W11-V11)/$B$2</f>
        <v>84896.451151102112</v>
      </c>
      <c r="X14" s="3">
        <f>-$B$8*(X11-W11)/$B$2</f>
        <v>84655.898585678966</v>
      </c>
      <c r="Y14" s="3">
        <f>-$B$8*(Y11-X11)/$B$2</f>
        <v>84433.272636157097</v>
      </c>
      <c r="Z14" s="3">
        <f>-$B$8*(Z11-Y11)/$B$2</f>
        <v>84229.116655605525</v>
      </c>
      <c r="AA14" s="3">
        <f>-$B$8*(AA11-Z11)/$B$2</f>
        <v>84043.928912976364</v>
      </c>
      <c r="AB14" s="3">
        <f>-$B$8*(AB11-AA11)/$B$2</f>
        <v>83878.161378286182</v>
      </c>
      <c r="AC14" s="3">
        <f>-$B$8*(AC11-AB11)/$B$2</f>
        <v>83732.218620784901</v>
      </c>
      <c r="AD14" s="3">
        <f>-$B$8*(AD11-AC11)/$B$2</f>
        <v>83606.45682275336</v>
      </c>
      <c r="AE14" s="3">
        <f>-$B$8*(AE11-AD11)/$B$2</f>
        <v>83501.182911327385</v>
      </c>
      <c r="AF14" s="3">
        <f>-$B$8*(AF11-AE11)/$B$2</f>
        <v>83416.653810417265</v>
      </c>
      <c r="AG14" s="3">
        <f>-$B$8*(AG11-AF11)/$B$2</f>
        <v>83353.075814550204</v>
      </c>
      <c r="AH14" s="3">
        <f>-$B$8*(AH11-AG11)/$B$2</f>
        <v>83310.604086118852</v>
      </c>
    </row>
    <row r="15" spans="1:35" x14ac:dyDescent="0.3">
      <c r="D15" t="s">
        <v>14</v>
      </c>
      <c r="E15">
        <f>-($B$7*$B$6)/$B$3*E11</f>
        <v>-515490477.94710654</v>
      </c>
      <c r="F15">
        <f>-($B$7*$B$6)/$B$3*F11</f>
        <v>-503530477.94710654</v>
      </c>
      <c r="G15">
        <f>-($B$7*$B$6)/$B$3*G11</f>
        <v>-491753833.48103005</v>
      </c>
      <c r="H15">
        <f>-($B$7*$B$6)/$B$3*H11</f>
        <v>-480032174.49662536</v>
      </c>
      <c r="I15">
        <f>-($B$7*$B$6)/$B$3*I11</f>
        <v>-468364919.18335664</v>
      </c>
      <c r="J15">
        <f>-($B$7*$B$6)/$B$3*J11</f>
        <v>-456751352.92777413</v>
      </c>
      <c r="K15">
        <f>-($B$7*$B$6)/$B$3*K11</f>
        <v>-445190630.05871999</v>
      </c>
      <c r="L15">
        <f>-($B$7*$B$6)/$B$3*L11</f>
        <v>-433681775.91256309</v>
      </c>
      <c r="M15">
        <f>-($B$7*$B$6)/$B$3*M11</f>
        <v>-422223689.21339959</v>
      </c>
      <c r="N15">
        <f>-($B$7*$B$6)/$B$3*N11</f>
        <v>-410815144.76238596</v>
      </c>
      <c r="O15">
        <f>-($B$7*$B$6)/$B$3*O11</f>
        <v>-399454796.42961168</v>
      </c>
      <c r="P15">
        <f>-($B$7*$B$6)/$B$3*P11</f>
        <v>-388141180.44118416</v>
      </c>
      <c r="Q15">
        <f>-($B$7*$B$6)/$B$3*Q11</f>
        <v>-376872718.95347244</v>
      </c>
      <c r="R15">
        <f>-($B$7*$B$6)/$B$3*R11</f>
        <v>-365647723.90575826</v>
      </c>
      <c r="S15">
        <f>-($B$7*$B$6)/$B$3*S11</f>
        <v>-354464401.14186418</v>
      </c>
      <c r="T15">
        <f>-($B$7*$B$6)/$B$3*T11</f>
        <v>-343320854.79067016</v>
      </c>
      <c r="U15">
        <f>-($B$7*$B$6)/$B$3*U11</f>
        <v>-332215091.89480537</v>
      </c>
      <c r="V15">
        <f>-($B$7*$B$6)/$B$3*V11</f>
        <v>-321145027.27619201</v>
      </c>
      <c r="W15">
        <f>-($B$7*$B$6)/$B$3*W11</f>
        <v>-310108488.62654877</v>
      </c>
      <c r="X15">
        <f>-($B$7*$B$6)/$B$3*X11</f>
        <v>-299103221.8104105</v>
      </c>
      <c r="Y15">
        <f>-($B$7*$B$6)/$B$3*Y11</f>
        <v>-288126896.36771005</v>
      </c>
      <c r="Z15">
        <f>-($B$7*$B$6)/$B$3*Z11</f>
        <v>-277177111.20248133</v>
      </c>
      <c r="AA15">
        <f>-($B$7*$B$6)/$B$3*AA11</f>
        <v>-266251400.44379443</v>
      </c>
      <c r="AB15">
        <f>-($B$7*$B$6)/$B$3*AB11</f>
        <v>-255347239.46461722</v>
      </c>
      <c r="AC15">
        <f>-($B$7*$B$6)/$B$3*AC11</f>
        <v>-244462051.04391518</v>
      </c>
      <c r="AD15">
        <f>-($B$7*$B$6)/$B$3*AD11</f>
        <v>-233593211.65695724</v>
      </c>
      <c r="AE15">
        <f>-($B$7*$B$6)/$B$3*AE11</f>
        <v>-222738057.87848467</v>
      </c>
      <c r="AF15">
        <f>-($B$7*$B$6)/$B$3*AF11</f>
        <v>-211893892.88313043</v>
      </c>
      <c r="AG15">
        <f>-($B$7*$B$6)/$B$3*AG11</f>
        <v>-201057993.02723891</v>
      </c>
      <c r="AH15">
        <f>-($B$7*$B$6)/$B$3*AH11</f>
        <v>-190227614.49604344</v>
      </c>
      <c r="AI15">
        <f>-($B$7*$B$6)/$B$3*AI11</f>
        <v>-179400000</v>
      </c>
    </row>
    <row r="16" spans="1:35" x14ac:dyDescent="0.3">
      <c r="A16" s="2" t="s">
        <v>22</v>
      </c>
      <c r="B16" s="4">
        <v>92000</v>
      </c>
      <c r="D16" t="s">
        <v>18</v>
      </c>
      <c r="E16">
        <v>0</v>
      </c>
      <c r="F16">
        <f>$B$12/($B$13-$B$14*E16)</f>
        <v>0.41095890410958902</v>
      </c>
      <c r="G16">
        <f>$B$12/($B$13-$B$14*F16)</f>
        <v>0.49446827726349057</v>
      </c>
      <c r="H16">
        <f>$B$12/($B$13-$B$14*G16)</f>
        <v>0.51576565211146774</v>
      </c>
      <c r="I16">
        <f>$B$12/($B$13-$B$14*H16)</f>
        <v>0.52149397895713612</v>
      </c>
      <c r="J16">
        <f>$B$12/($B$13-$B$14*I16)</f>
        <v>0.52305649933975962</v>
      </c>
      <c r="K16">
        <f>$B$12/($B$13-$B$14*J16)</f>
        <v>0.52348433598989241</v>
      </c>
      <c r="L16">
        <f>$B$12/($B$13-$B$14*K16)</f>
        <v>0.52360160483419294</v>
      </c>
      <c r="M16">
        <f>$B$12/($B$13-$B$14*L16)</f>
        <v>0.52363375707534621</v>
      </c>
      <c r="N16">
        <f>$B$12/($B$13-$B$14*M16)</f>
        <v>0.52364257312109652</v>
      </c>
      <c r="O16">
        <f>$B$12/($B$13-$B$14*N16)</f>
        <v>0.5236449905056163</v>
      </c>
      <c r="P16">
        <f>$B$12/($B$13-$B$14*O16)</f>
        <v>0.52364565336314417</v>
      </c>
      <c r="Q16">
        <f>$B$12/($B$13-$B$14*P16)</f>
        <v>0.52364583512190344</v>
      </c>
      <c r="R16">
        <f>$B$12/($B$13-$B$14*Q16)</f>
        <v>0.52364588496106157</v>
      </c>
      <c r="S16">
        <f>$B$12/($B$13-$B$14*R16)</f>
        <v>0.52364589862720901</v>
      </c>
      <c r="T16">
        <f>$B$12/($B$13-$B$14*S16)</f>
        <v>0.52364590237453534</v>
      </c>
      <c r="U16">
        <f>$B$12/($B$13-$B$14*T16)</f>
        <v>0.52364590340207107</v>
      </c>
      <c r="V16">
        <f>$B$12/($B$13-$B$14*U16)</f>
        <v>0.52364590368382657</v>
      </c>
      <c r="W16">
        <f>$B$12/($B$13-$B$14*V16)</f>
        <v>0.52364590376108522</v>
      </c>
      <c r="X16">
        <f>$B$12/($B$13-$B$14*W16)</f>
        <v>0.52364590378227005</v>
      </c>
      <c r="Y16">
        <f>$B$12/($B$13-$B$14*X16)</f>
        <v>0.52364590378807896</v>
      </c>
      <c r="Z16">
        <f>$B$12/($B$13-$B$14*Y16)</f>
        <v>0.5236459037896718</v>
      </c>
      <c r="AA16">
        <f>$B$12/($B$13-$B$14*Z16)</f>
        <v>0.52364590379010867</v>
      </c>
      <c r="AB16">
        <f>$B$12/($B$13-$B$14*AA16)</f>
        <v>0.52364590379022846</v>
      </c>
      <c r="AC16">
        <f>$B$12/($B$13-$B$14*AB16)</f>
        <v>0.52364590379026121</v>
      </c>
      <c r="AD16">
        <f>$B$12/($B$13-$B$14*AC16)</f>
        <v>0.52364590379027021</v>
      </c>
      <c r="AE16">
        <f>$B$12/($B$13-$B$14*AD16)</f>
        <v>0.52364590379027265</v>
      </c>
      <c r="AF16">
        <f>$B$12/($B$13-$B$14*AE16)</f>
        <v>0.52364590379027331</v>
      </c>
      <c r="AG16">
        <f>$B$12/($B$13-$B$14*AF16)</f>
        <v>0.52364590379027354</v>
      </c>
      <c r="AH16">
        <f>$B$12/($B$13-$B$14*AG16)</f>
        <v>0.52364590379027354</v>
      </c>
      <c r="AI16">
        <f>$B$12/($B$13-$B$14*AH16)</f>
        <v>0.52364590379027354</v>
      </c>
    </row>
    <row r="17" spans="1:35" x14ac:dyDescent="0.3">
      <c r="A17" s="2" t="s">
        <v>8</v>
      </c>
      <c r="B17" s="4">
        <v>100</v>
      </c>
      <c r="D17" t="s">
        <v>19</v>
      </c>
      <c r="E17">
        <f>E11</f>
        <v>287.34140353796352</v>
      </c>
      <c r="F17">
        <f>(E17*$B$14-F15)/($B$13-$B$14*E16)</f>
        <v>168.0686806228187</v>
      </c>
      <c r="G17">
        <f>(F17*$B$14-G15)/($B$13-$B$14*F16)</f>
        <v>141.83812635093383</v>
      </c>
      <c r="H17">
        <f>(G17*$B$14-H15)/($B$13-$B$14*G16)</f>
        <v>132.9581582518847</v>
      </c>
      <c r="I17">
        <f>(H17*$B$14-I15)/($B$13-$B$14*H16)</f>
        <v>128.33433920112086</v>
      </c>
      <c r="J17">
        <f>(I17*$B$14-J15)/($B$13-$B$14*I16)</f>
        <v>124.83305796875499</v>
      </c>
      <c r="K17">
        <f>(J17*$B$14-K15)/($B$13-$B$14*J16)</f>
        <v>121.6404986162095</v>
      </c>
      <c r="L17">
        <f>(K17*$B$14-L15)/($B$13-$B$14*K16)</f>
        <v>118.54055010836591</v>
      </c>
      <c r="M17">
        <f>(L17*$B$14-M15)/($B$13-$B$14*L16)</f>
        <v>115.47535456323109</v>
      </c>
      <c r="N17">
        <f>(M17*$B$14-N15)/($B$13-$B$14*M16)</f>
        <v>112.4292367908491</v>
      </c>
      <c r="O17">
        <f>(N17*$B$14-O15)/($B$13-$B$14*N16)</f>
        <v>109.39776583088506</v>
      </c>
      <c r="P17">
        <f>(O17*$B$14-P15)/($B$13-$B$14*O16)</f>
        <v>106.37949114209944</v>
      </c>
      <c r="Q17">
        <f>(P17*$B$14-Q15)/($B$13-$B$14*P16)</f>
        <v>103.3737353656757</v>
      </c>
      <c r="R17">
        <f>(Q17*$B$14-R15)/($B$13-$B$14*Q16)</f>
        <v>100.38000552584751</v>
      </c>
      <c r="S17">
        <f>(R17*$B$14-S15)/($B$13-$B$14*R16)</f>
        <v>97.39783661983661</v>
      </c>
      <c r="T17">
        <f>(S17*$B$14-T15)/($B$13-$B$14*S16)</f>
        <v>94.426750705749271</v>
      </c>
      <c r="U17">
        <f>(T17*$B$14-U15)/($B$13-$B$14*T16)</f>
        <v>91.46624685956597</v>
      </c>
      <c r="V17">
        <f>(U17*$B$14-V15)/($B$13-$B$14*U16)</f>
        <v>88.51579941160837</v>
      </c>
      <c r="W17">
        <f>(V17*$B$14-W15)/($B$13-$B$14*V16)</f>
        <v>85.574858434817273</v>
      </c>
      <c r="X17">
        <f>(W17*$B$14-X15)/($B$13-$B$14*W16)</f>
        <v>82.642850875777668</v>
      </c>
      <c r="Y17">
        <f>(X17*$B$14-Y15)/($B$13-$B$14*X16)</f>
        <v>79.71918189743711</v>
      </c>
      <c r="Z17">
        <f>(Y17*$B$14-Z15)/($B$13-$B$14*Y16)</f>
        <v>76.803236316238767</v>
      </c>
      <c r="AA17">
        <f>(Z17*$B$14-AA15)/($B$13-$B$14*Z16)</f>
        <v>73.894380099839751</v>
      </c>
      <c r="AB17">
        <f>(AA17*$B$14-AB15)/($B$13-$B$14*AA16)</f>
        <v>70.991961913701033</v>
      </c>
      <c r="AC17">
        <f>(AB17*$B$14-AC15)/($B$13-$B$14*AB16)</f>
        <v>68.095314710634582</v>
      </c>
      <c r="AD17">
        <f>(AC17*$B$14-AD15)/($B$13-$B$14*AC16)</f>
        <v>65.203757358861466</v>
      </c>
      <c r="AE17">
        <f>(AD17*$B$14-AE15)/($B$13-$B$14*AD16)</f>
        <v>62.3165963044585</v>
      </c>
      <c r="AF17">
        <f>(AE17*$B$14-AF15)/($B$13-$B$14*AE16)</f>
        <v>59.433127264099227</v>
      </c>
      <c r="AG17">
        <f>(AF17*$B$14-AG15)/($B$13-$B$14*AF16)</f>
        <v>56.552636943950297</v>
      </c>
      <c r="AH17">
        <f>(AG17*$B$14-AH15)/($B$13-$B$14*AG16)</f>
        <v>53.674404780529962</v>
      </c>
      <c r="AI17">
        <f>(AH17*$B$14-AI15)/($B$13-$B$14*AH16)</f>
        <v>50.797704699284118</v>
      </c>
    </row>
  </sheetData>
  <conditionalFormatting sqref="E11:AI1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ГУ 1ого рода</vt:lpstr>
      <vt:lpstr>ГУ 2ого рода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tyu Dasha</dc:creator>
  <cp:lastModifiedBy>tyu Dasha</cp:lastModifiedBy>
  <dcterms:created xsi:type="dcterms:W3CDTF">2021-02-19T10:02:29Z</dcterms:created>
  <dcterms:modified xsi:type="dcterms:W3CDTF">2021-03-19T06:30:43Z</dcterms:modified>
</cp:coreProperties>
</file>